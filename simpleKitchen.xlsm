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3_ncr:1_{72C55DD1-D674-404F-825D-FCB9DA335310}" xr6:coauthVersionLast="37" xr6:coauthVersionMax="37" xr10:uidLastSave="{00000000-0000-0000-0000-000000000000}"/>
  <bookViews>
    <workbookView xWindow="0" yWindow="0" windowWidth="20490" windowHeight="7695" tabRatio="635" activeTab="5" xr2:uid="{94A0F0E1-FEAD-4178-AFB9-E98960C5C76F}"/>
  </bookViews>
  <sheets>
    <sheet name="справочники" sheetId="48" r:id="rId1"/>
    <sheet name="dimens" sheetId="149" r:id="rId2"/>
    <sheet name="result" sheetId="65" r:id="rId3"/>
    <sheet name="resources" sheetId="120" state="veryHidden" r:id="rId4"/>
    <sheet name="продукты" sheetId="286" r:id="rId5"/>
    <sheet name="старт" sheetId="261" r:id="rId6"/>
    <sheet name="settings" sheetId="260" r:id="rId7"/>
    <sheet name="TableList" sheetId="1" r:id="rId8"/>
  </sheets>
  <functionGroups builtInGroupCount="19"/>
  <definedNames>
    <definedName name="databasepath">settings!$C$3</definedName>
    <definedName name="ID">TableList!$B$5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settings!$C$4</definedName>
    <definedName name="SheetID">settings!$B$6</definedName>
    <definedName name="группа__вид">#REF!</definedName>
    <definedName name="описание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<sst xmlns="http://schemas.openxmlformats.org/spreadsheetml/2006/main" count="71" uniqueCount="60">
  <si>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</si>
  <si>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</si>
  <si>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</si>
  <si>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</si>
  <si>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</si>
  <si>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</si>
  <si>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</si>
  <si>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</si>
  <si>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</si>
  <si>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</si>
  <si>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</si>
  <si>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</si>
  <si>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</si>
  <si>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</si>
  <si>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</si>
  <si>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</si>
  <si>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</si>
  <si>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</si>
  <si>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</si>
  <si>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</si>
  <si>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</si>
  <si>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</si>
  <si>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</si>
  <si>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</si>
  <si>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</si>
  <si>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</si>
  <si>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</si>
  <si>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</si>
  <si>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</si>
  <si>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</si>
  <si>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</si>
  <si>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</si>
  <si>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</si>
  <si>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</si>
  <si>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</si>
  <si>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</si>
  <si>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</si>
  <si>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</si>
  <si>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</si>
  <si>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</si>
  <si>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</si>
  <si>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</si>
  <si>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</si>
  <si>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</si>
  <si>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ribbonpointer</t>
  </si>
  <si>
    <t>Code</t>
  </si>
  <si>
    <t>Ctls</t>
  </si>
  <si>
    <t>Opt</t>
  </si>
  <si>
    <t>DevStage</t>
  </si>
  <si>
    <t>старт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</si>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</sst>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0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9"/>
      <color theme="1"/>
      <name val="Courier New"/>
      <family val="3"/>
      <charset val="204"/>
    </font>
    <font>
      <sz val="9"/>
      <color rgb="FFFFFFFF"/>
      <name val="Courier New"/>
      <family val="3"/>
      <charset val="204"/>
    </font>
    <font>
      <sz val="11"/>
      <color rgb="FF505066"/>
      <name val="Calibri"/>
      <family val="2"/>
      <charset val="204"/>
      <scheme val="minor"/>
    </font>
    <font>
      <sz val="8"/>
      <name val="Segoe UI"/>
      <family val="2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1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0" fontId="8" fillId="6" borderId="0" xfId="3" applyFont="1" applyFill="1"/>
    <xf numFmtId="164" fontId="0" fillId="0" borderId="0" xfId="4" applyNumberFormat="1" applyFont="1"/>
    <xf numFmtId="164" fontId="0" fillId="7" borderId="0" xfId="0" applyNumberFormat="1" applyFill="1"/>
    <xf numFmtId="0" fontId="14" fillId="0" borderId="0" xfId="0" applyFont="1"/>
    <xf numFmtId="0" fontId="15" fillId="8" borderId="0" xfId="0" applyFont="1" applyFill="1"/>
    <xf numFmtId="0" fontId="14" fillId="0" borderId="0" xfId="0" applyFont="1" applyAlignment="1">
      <alignment horizontal="left"/>
    </xf>
    <xf numFmtId="0" fontId="16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8" fillId="5" borderId="0" xfId="0" applyFont="1" applyFill="1" applyProtection="1"/>
    <xf numFmtId="0" fontId="18" fillId="5" borderId="0" xfId="0" applyFont="1" applyFill="1" applyAlignment="1" applyProtection="1">
      <alignment horizontal="right" indent="1"/>
    </xf>
    <xf numFmtId="0" fontId="19" fillId="5" borderId="0" xfId="0" applyFont="1" applyFill="1" applyProtection="1"/>
  </cellXfs>
  <cellStyles count="5">
    <cellStyle name="Accent1" xfId="2" builtinId="29"/>
    <cellStyle name="Bad" xfId="1" builtinId="27"/>
    <cellStyle name="Normal" xfId="0" builtinId="0"/>
    <cellStyle name="Normal 2" xfId="3" xr:uid="{1B38135D-4E4B-4088-8223-2CBC0F4F26B6}"/>
    <cellStyle name="Percent" xfId="4" builtinId="5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0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0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0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0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0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0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0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0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0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0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0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0</xdr:col>
      <xdr:colOff>482866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C26920C3-DC41-47AA-ACAD-E71CA6E9B25A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E469AB80-A16E-4544-92C6-46C3B0611793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DB92AE61-9F48-45AA-83AE-8509104F5872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B06B341F-365C-4AD3-AA54-8AC4D3DA7BAD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374650</xdr:colOff>
          <xdr:row>5</xdr:row>
          <xdr:rowOff>25400</xdr:rowOff>
        </xdr:from>
        <xdr:to>
          <xdr:col>4</xdr:col>
          <xdr:colOff>584200</xdr:colOff>
          <xdr:row>6</xdr:row>
          <xdr:rowOff>15875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38D21325-9613-4535-9E10-5AD8EC0CC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ED9B1269-41FD-4C49-ABD8-9F882C7D39E8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1219199</xdr:colOff>
          <xdr:row>5</xdr:row>
          <xdr:rowOff>25400</xdr:rowOff>
        </xdr:from>
        <xdr:to>
          <xdr:col>4</xdr:col>
          <xdr:colOff>1428749</xdr:colOff>
          <xdr:row>6</xdr:row>
          <xdr:rowOff>15875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238ACF05-9959-459E-BE3F-6E2BD175C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AF10B2A6-5D2C-4434-89CE-58CC9354482D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25DDE7D8-53AB-4D53-B883-3D7C4A4F45F4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4A7C58EF-48EE-4B96-BDB2-E4767F1BFF92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5B09DB96-E1BF-4137-A110-B3DD11A88AD7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A41E7E87-9510-4559-A8DF-273272AD4A3E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9075D262-59EA-4209-AD0A-AAFE2ED008CF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EE95444-A879-4064-8AA4-2F0F4A8B17D4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572D2F81-290C-4BDF-B123-5E6BADFC88EE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F5F338B2-A075-49CA-B05A-3DD1A981D814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2ACEB57F-02FB-47C5-95D2-E324072492FA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88C3A468-BEC8-484D-90D9-3504CFE8BA9B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CE421C08-A963-40F6-A38C-C3428BBAC491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AF2CD68B-2D82-47DA-BE26-55D8BCA8FCCC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CDB83BFA-7099-44F9-B3C4-8572FEAD7FE6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F1C00B41-D6B5-4B11-B782-7F08A3E95B9E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FBD9A29C-A934-4042-9D26-89073D0F6E6A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751071F6-0C70-4057-A70B-089AE8F7F75B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7D147F33-C3EC-476F-9EB2-AA40140477A7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1BBBBA93-06D3-45B2-BD15-C2B8557E02D2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712BE791-4629-4BDC-8D3C-399BD6BAFB2D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E7D2ABFA-ABE2-42D6-B208-F43DCB2299EE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16EA867E-5E70-4226-93B4-65102B6EE7DB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BDEC1047-F545-4A07-862A-158E16249B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744CE266-1C91-45FA-A90C-4AEFD821BA49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B36664AA-66EC-418C-8D5C-E09C150F0EAF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293B0E2C-1B01-4672-8941-663FAF65A0F1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804EDC47-79D2-4702-A80E-E74E5C9FD16C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8A54A0A8-681E-4FFD-B8E6-27F29E5C7C7E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40DB2F0A-AFAE-4C00-AAE9-5153CCCD8A2C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393C9C09-A8C3-4C8F-82CA-7F50B61962C1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E38F5274-16DA-4136-8730-924087EE98D7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154A7FFC-3028-4AFB-93C8-980FB4D8FBB9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325FFE38-BC00-43EB-8D94-CCF80D4C8D9B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766CA3FF-8AEE-4381-9BB8-91A3A1D9D1AA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29C07071-F9A1-477F-A68D-23610E2A6B64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CDD6A6D-54CE-4890-98E3-B46CE7992B59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44D22F1A-54E0-4AAB-84EF-C13DAC678958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12D9ACB7-FBA5-4CCB-AFB2-3B36952D2198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6C41FA82-BEA0-49DD-8E90-24CE4B75DD01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211D270B-1164-40A8-8457-A13340417D07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8EEFB95D-BF31-4902-8E6E-5614D54A5342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7B29D610-6639-42FA-AC17-F227E65DE599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2245F90C-AB50-4B36-B039-D333ED0CE05E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4C14E351-AE1E-40AC-9B1E-10D0B5D41BE9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3EE3312A-FD2E-47BA-B6D4-C63A795B35BC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DF089F2B-1A30-46E4-9306-CCB52771D7E2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A94B92B4-6EF0-4ABE-A7B4-5D8F3962044D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E9A5B74D-F3B0-4A3C-B08A-E09B15AD2B86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6C456D80-031B-451E-8AAF-D00F31F7A7A5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53EF830B-1C3A-44FF-9DF1-89E1DF8F788C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7075E5EC-101A-43EE-8CC3-A1ED09CC598D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FA32D13B-29F6-4D24-81F4-D98157858B18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7953D96-8760-42D7-A30B-C2FBF1248B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6E703E7B-F5F3-43F3-AD2C-2FC44710BD26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55D99ABA-FE1F-4CE3-AF88-CB3AADFE6361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CFCF6300-D91B-4421-9FEC-DD6F4E95A665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5B2E8A7E-295C-489F-BA6C-0D639393C1CE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928D1988-1B2C-428E-97C1-742B0FEC8F77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C1A98FD0-0367-42D9-8DFA-760E0A743A1E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BAD156AE-DAA9-4932-8578-9FC2024F83DD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E917B9B3-ED7E-49FB-8DDA-18B22C527F48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9413FF1C-6956-4315-A19E-ACDC9965B573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A092F400-FA60-4904-89A8-690F5537C016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2C3DD7F2-A469-452E-8DF5-3520711B5C51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7A2EE140-DEF1-45AD-B93C-58E2E09D38E1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90B35F3E-614E-4630-9614-627B2CFE3B62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3626AB8E-3B5A-45F4-947F-8AA77DB54DAF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83498889-85CD-4499-8951-4B931C902C0A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9E721144-2BA0-41DB-AA27-AA8A33E61094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1D94BF32-7EAC-478E-AF2C-5B1DB14D0865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4F9F50E5-9164-4B26-A850-09E5489E1B29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C921BB72-3E22-4B7D-AE98-21373D59B7FF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8B007E06-D555-4A86-9390-9E86B1C6E75A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A9EA031A-5A2F-41F0-9880-66F5C76A1A01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5DC90B14-DD35-4BA7-9211-E7C198FB5F37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C90CBB0C-6DCC-449A-B0B1-DDD8EC62DB8A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C02075C3-75D8-48EE-B664-13579CE73821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59FBE8E6-908D-4AB8-8F0D-C9677D2314F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6B0765A0-CEE9-4020-BC06-4F00E97D55E2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8733098B-4913-44AF-B7FF-60517F7A3E55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3126B64F-BDE7-40F3-B685-D4AE6859F28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71D41426-2886-4CB7-92CE-8EC1CC4AC6C3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259AB7D-7569-4D73-B660-9F7AC75FAB38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40C18730-A686-4C2C-AC0F-38EDC6209D6A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CD89E097-AFAF-4E48-86D8-0F2A5FAC364B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50E28984-8E98-4576-B2F7-C8C0F9C239FD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85CC4568-7348-45E1-817D-E6AB4AD96F4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D31EE665-AC07-48CA-B84B-29B202456073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EFC7B318-402F-4F61-8BB6-F30B7ECD454E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5D97D83B-839D-4F34-9B41-065E523E0B13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D687E6DA-9E67-4487-8A5A-C887AB61CDD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761AB918-A3FE-4BC5-B6F3-8A288682673B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30C5FBD8-78AD-49B9-ACAB-4C5F203CD17E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95CE3087-7EA7-47D4-9BBC-C18551FF2C94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17D04610-D3E4-4669-B007-E4D27CA3BE81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8A35F323-9726-41D1-B6F6-BAAE7755F49D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FF14290-7FCA-4538-91CC-A5701522607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E43FEA4B-3C1A-46AB-8087-8270B52EE224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56594D53-ED22-4EAD-B9C7-CBB21F9C5731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9277F11F-EBE1-43DA-931B-22D51B907A8F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E92F6D44-D9A7-4A8B-9D8A-3AA4C09EEF03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B8377C89-2BB2-42F2-8436-26F2DAE66B48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5CCFD5F1-933A-4E43-8BCC-F2A2A5F1B2A1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3ADB7AF7-000C-429B-BC1E-011EC063F68C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42F5B399-6866-4631-B270-D7F250450AF8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5D46371-D7CB-4EC0-9344-0399A018343A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FF354B54-F733-4073-9C12-224F99873AFF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900FB9BB-7D68-4FFC-8558-ACEE50AECBD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4FDD2A1D-F040-4258-AAF7-7F3ACB57DB26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FE200386-7011-4B52-AAC8-0347439CD34B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B744862-1A58-4981-9373-026D20284651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A1F4559B-1B24-414B-A9AC-38AEE0F5AC86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4B0D611D-CB3D-4DAA-A617-36EB0BD7FF2D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E631147A-93C2-4F2D-A707-E0088B4E4D4C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91FB4CAF-F555-4A9A-8CCD-E2C36F0375CE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F5663EAA-3328-4463-8212-56F6D2AB68C3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86A668CE-EBEE-43B0-AF22-A219CADF2105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8B1CCFBA-2800-4D14-946D-E361BDB6091E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E21D9DF5-2FE0-48BA-86D3-2A76091E1C3A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DEF31725-3B82-4232-8B84-F1C9DA2D0723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679A55F2-EF50-41D9-AF48-CF23BD5A537C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BBEECE29-91C1-413A-9245-D8DC89DB5F7D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41DA51A-1926-4D97-8943-EF6577BC8C02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B66D000A-4578-4EFE-B477-0486D68D461E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91AF76A-88E6-47A9-B822-99B6C476B218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B3BF449B-FD65-443B-BB86-BFE5D702F19D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87300AE2-F11C-4DFA-9DD3-6178099D1287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FAC8FAB9-40FA-4364-A070-A7A8273130D6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63330041-0DCB-4F60-AD51-966E81349D01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35DCFEFA-0860-43CA-9A5C-8E2CCF3D3638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4A4C90C3-8D7B-4877-A2CC-127F0B83C701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943CD143-675D-4540-995A-CF1C51CBE3A5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3554D2C5-A8FE-49C1-844B-4D6DE77846B7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23197A0E-236C-4CBB-8EB5-0139E95FF998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B553559C-7CBE-4CDD-A347-D7CA343CBA17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7AEB24D9-003B-44F5-B264-F128DF65D9B9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7FC73A83-17B4-4EEB-893C-692C97BF21C1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50A1600F-9025-46A0-9BCB-6696FD264F5F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3FEA2411-3D77-4AF3-B73C-6B6351586CF1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C49469FA-6C72-4CA4-A406-15DF2FA378E1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597958</xdr:colOff>
      <xdr:row>28</xdr:row>
      <xdr:rowOff>117475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17158" cy="54514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20</xdr:row>
      <xdr:rowOff>174625</xdr:rowOff>
    </xdr:from>
    <xdr:to>
      <xdr:col>3</xdr:col>
      <xdr:colOff>597958</xdr:colOff>
      <xdr:row>23</xdr:row>
      <xdr:rowOff>47625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0" y="3984625"/>
          <a:ext cx="1817158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9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CA" sz="900" b="0">
              <a:solidFill>
                <a:srgbClr val="FFFFFF"/>
              </a:solidFill>
            </a:rPr>
            <a:t>© hqinside.com</a:t>
          </a:r>
          <a:endParaRPr lang="uk-UA" sz="9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4</xdr:col>
      <xdr:colOff>0</xdr:colOff>
      <xdr:row>2</xdr:row>
      <xdr:rowOff>0</xdr:rowOff>
    </xdr:from>
    <xdr:to>
      <xdr:col>14</xdr:col>
      <xdr:colOff>254000</xdr:colOff>
      <xdr:row>4</xdr:row>
      <xdr:rowOff>0</xdr:rowOff>
    </xdr:to>
    <xdr:sp macro="" textlink="">
      <xdr:nvSpPr>
        <xdr:cNvPr id="4" name="Rectangle 3" descr="n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1828800" y="381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4</xdr:col>
      <xdr:colOff>0</xdr:colOff>
      <xdr:row>5</xdr:row>
      <xdr:rowOff>114300</xdr:rowOff>
    </xdr:from>
    <xdr:to>
      <xdr:col>14</xdr:col>
      <xdr:colOff>254000</xdr:colOff>
      <xdr:row>7</xdr:row>
      <xdr:rowOff>114300</xdr:rowOff>
    </xdr:to>
    <xdr:sp macro="" textlink="">
      <xdr:nvSpPr>
        <xdr:cNvPr id="5" name="Rectangle 4" descr="n0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1828800" y="10668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4</xdr:col>
      <xdr:colOff>0</xdr:colOff>
      <xdr:row>9</xdr:row>
      <xdr:rowOff>38100</xdr:rowOff>
    </xdr:from>
    <xdr:to>
      <xdr:col>14</xdr:col>
      <xdr:colOff>254000</xdr:colOff>
      <xdr:row>11</xdr:row>
      <xdr:rowOff>38100</xdr:rowOff>
    </xdr:to>
    <xdr:sp macro="" textlink="">
      <xdr:nvSpPr>
        <xdr:cNvPr id="6" name="Rectangle 5" descr="n0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1828800" y="17526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4</xdr:col>
      <xdr:colOff>0</xdr:colOff>
      <xdr:row>12</xdr:row>
      <xdr:rowOff>152400</xdr:rowOff>
    </xdr:from>
    <xdr:to>
      <xdr:col>14</xdr:col>
      <xdr:colOff>254000</xdr:colOff>
      <xdr:row>14</xdr:row>
      <xdr:rowOff>152400</xdr:rowOff>
    </xdr:to>
    <xdr:sp macro="" textlink="">
      <xdr:nvSpPr>
        <xdr:cNvPr id="7" name="Rectangle 6" descr="n0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>
        <a:xfrm>
          <a:off x="1828800" y="24384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4</xdr:col>
      <xdr:colOff>0</xdr:colOff>
      <xdr:row>16</xdr:row>
      <xdr:rowOff>76200</xdr:rowOff>
    </xdr:from>
    <xdr:to>
      <xdr:col>14</xdr:col>
      <xdr:colOff>254000</xdr:colOff>
      <xdr:row>18</xdr:row>
      <xdr:rowOff>76200</xdr:rowOff>
    </xdr:to>
    <xdr:sp macro="" textlink="">
      <xdr:nvSpPr>
        <xdr:cNvPr id="8" name="Rectangle 7" descr="n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1828800" y="31242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4</xdr:col>
      <xdr:colOff>0</xdr:colOff>
      <xdr:row>20</xdr:row>
      <xdr:rowOff>0</xdr:rowOff>
    </xdr:from>
    <xdr:to>
      <xdr:col>14</xdr:col>
      <xdr:colOff>254000</xdr:colOff>
      <xdr:row>22</xdr:row>
      <xdr:rowOff>0</xdr:rowOff>
    </xdr:to>
    <xdr:sp macro="" textlink="">
      <xdr:nvSpPr>
        <xdr:cNvPr id="9" name="Rectangle 8" descr="n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1828800" y="3810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24</xdr:row>
      <xdr:rowOff>66675</xdr:rowOff>
    </xdr:from>
    <xdr:to>
      <xdr:col>1</xdr:col>
      <xdr:colOff>115094</xdr:colOff>
      <xdr:row>25</xdr:row>
      <xdr:rowOff>71438</xdr:rowOff>
    </xdr:to>
    <xdr:grpSp>
      <xdr:nvGrpSpPr>
        <xdr:cNvPr id="2" name="IconMain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377825" y="3646488"/>
          <a:ext cx="153988" cy="15557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3" name="Freeform: Shap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4" name="Freeform: Shape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5" name="Freeform: 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2</xdr:col>
      <xdr:colOff>331302</xdr:colOff>
      <xdr:row>24</xdr:row>
      <xdr:rowOff>81855</xdr:rowOff>
    </xdr:from>
    <xdr:to>
      <xdr:col>2</xdr:col>
      <xdr:colOff>404812</xdr:colOff>
      <xdr:row>25</xdr:row>
      <xdr:rowOff>71438</xdr:rowOff>
    </xdr:to>
    <xdr:grpSp>
      <xdr:nvGrpSpPr>
        <xdr:cNvPr id="50" name="IconSave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GrpSpPr/>
      </xdr:nvGrpSpPr>
      <xdr:grpSpPr>
        <a:xfrm>
          <a:off x="1781792" y="3661668"/>
          <a:ext cx="147020" cy="140395"/>
          <a:chOff x="376389" y="3221837"/>
          <a:chExt cx="272150" cy="244008"/>
        </a:xfrm>
      </xdr:grpSpPr>
      <xdr:sp macro="" textlink="">
        <xdr:nvSpPr>
          <xdr:cNvPr id="47" name="Freeform: Shape 46">
            <a:extLst>
              <a:ext uri="{FF2B5EF4-FFF2-40B4-BE49-F238E27FC236}">
                <a16:creationId xmlns:a16="http://schemas.microsoft.com/office/drawing/2014/main" id="{00000000-0008-0000-0700-00002F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48" name="Freeform: Shape 47">
            <a:extLst>
              <a:ext uri="{FF2B5EF4-FFF2-40B4-BE49-F238E27FC236}">
                <a16:creationId xmlns:a16="http://schemas.microsoft.com/office/drawing/2014/main" id="{00000000-0008-0000-0700-000030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49" name="Freeform: Shape 48">
            <a:extLst>
              <a:ext uri="{FF2B5EF4-FFF2-40B4-BE49-F238E27FC236}">
                <a16:creationId xmlns:a16="http://schemas.microsoft.com/office/drawing/2014/main" id="{00000000-0008-0000-0700-000031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154907</xdr:colOff>
      <xdr:row>24</xdr:row>
      <xdr:rowOff>63965</xdr:rowOff>
    </xdr:from>
    <xdr:to>
      <xdr:col>1</xdr:col>
      <xdr:colOff>230187</xdr:colOff>
      <xdr:row>25</xdr:row>
      <xdr:rowOff>79375</xdr:rowOff>
    </xdr:to>
    <xdr:sp macro="" textlink="">
      <xdr:nvSpPr>
        <xdr:cNvPr id="27775" name="IconAdd" descr="Add">
          <a:extLst>
            <a:ext uri="{FF2B5EF4-FFF2-40B4-BE49-F238E27FC236}">
              <a16:creationId xmlns:a16="http://schemas.microsoft.com/office/drawing/2014/main" id="{00000000-0008-0000-0700-00007F6C0000}"/>
            </a:ext>
          </a:extLst>
        </xdr:cNvPr>
        <xdr:cNvSpPr/>
      </xdr:nvSpPr>
      <xdr:spPr>
        <a:xfrm>
          <a:off x="611440" y="2762715"/>
          <a:ext cx="150560" cy="17416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1</xdr:col>
      <xdr:colOff>274716</xdr:colOff>
      <xdr:row>24</xdr:row>
      <xdr:rowOff>91049</xdr:rowOff>
    </xdr:from>
    <xdr:to>
      <xdr:col>1</xdr:col>
      <xdr:colOff>345281</xdr:colOff>
      <xdr:row>25</xdr:row>
      <xdr:rowOff>79377</xdr:rowOff>
    </xdr:to>
    <xdr:sp macro="" textlink="">
      <xdr:nvSpPr>
        <xdr:cNvPr id="27806" name="IconDelete" descr="Close">
          <a:extLst>
            <a:ext uri="{FF2B5EF4-FFF2-40B4-BE49-F238E27FC236}">
              <a16:creationId xmlns:a16="http://schemas.microsoft.com/office/drawing/2014/main" id="{00000000-0008-0000-0700-00009E6C0000}"/>
            </a:ext>
          </a:extLst>
        </xdr:cNvPr>
        <xdr:cNvSpPr/>
      </xdr:nvSpPr>
      <xdr:spPr>
        <a:xfrm>
          <a:off x="851058" y="2789799"/>
          <a:ext cx="141130" cy="147078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oneCell">
    <xdr:from>
      <xdr:col>2</xdr:col>
      <xdr:colOff>197036</xdr:colOff>
      <xdr:row>24</xdr:row>
      <xdr:rowOff>57615</xdr:rowOff>
    </xdr:from>
    <xdr:to>
      <xdr:col>2</xdr:col>
      <xdr:colOff>317500</xdr:colOff>
      <xdr:row>25</xdr:row>
      <xdr:rowOff>142929</xdr:rowOff>
    </xdr:to>
    <xdr:pic>
      <xdr:nvPicPr>
        <xdr:cNvPr id="27823" name="Graphic 27822" descr="Filter">
          <a:extLst>
            <a:ext uri="{FF2B5EF4-FFF2-40B4-BE49-F238E27FC236}">
              <a16:creationId xmlns:a16="http://schemas.microsoft.com/office/drawing/2014/main" id="{00000000-0008-0000-0700-0000AF6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68822" y="2756365"/>
          <a:ext cx="240928" cy="236126"/>
        </a:xfrm>
        <a:prstGeom prst="rect">
          <a:avLst/>
        </a:prstGeom>
      </xdr:spPr>
    </xdr:pic>
    <xdr:clientData/>
  </xdr:twoCellAnchor>
  <xdr:twoCellAnchor>
    <xdr:from>
      <xdr:col>1</xdr:col>
      <xdr:colOff>380998</xdr:colOff>
      <xdr:row>24</xdr:row>
      <xdr:rowOff>87313</xdr:rowOff>
    </xdr:from>
    <xdr:to>
      <xdr:col>2</xdr:col>
      <xdr:colOff>51593</xdr:colOff>
      <xdr:row>25</xdr:row>
      <xdr:rowOff>66673</xdr:rowOff>
    </xdr:to>
    <xdr:grpSp>
      <xdr:nvGrpSpPr>
        <xdr:cNvPr id="27831" name="IconSort">
          <a:extLst>
            <a:ext uri="{FF2B5EF4-FFF2-40B4-BE49-F238E27FC236}">
              <a16:creationId xmlns:a16="http://schemas.microsoft.com/office/drawing/2014/main" id="{00000000-0008-0000-0700-0000B76C0000}"/>
            </a:ext>
          </a:extLst>
        </xdr:cNvPr>
        <xdr:cNvGrpSpPr/>
      </xdr:nvGrpSpPr>
      <xdr:grpSpPr>
        <a:xfrm>
          <a:off x="1063621" y="3667126"/>
          <a:ext cx="158753" cy="13017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27832" name="Freeform: Shape 27831">
            <a:extLst>
              <a:ext uri="{FF2B5EF4-FFF2-40B4-BE49-F238E27FC236}">
                <a16:creationId xmlns:a16="http://schemas.microsoft.com/office/drawing/2014/main" id="{00000000-0008-0000-0700-0000B86C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27833" name="Freeform: Shape 27832">
            <a:extLst>
              <a:ext uri="{FF2B5EF4-FFF2-40B4-BE49-F238E27FC236}">
                <a16:creationId xmlns:a16="http://schemas.microsoft.com/office/drawing/2014/main" id="{00000000-0008-0000-0700-0000B96C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27834" name="Freeform: Shape 27833">
            <a:extLst>
              <a:ext uri="{FF2B5EF4-FFF2-40B4-BE49-F238E27FC236}">
                <a16:creationId xmlns:a16="http://schemas.microsoft.com/office/drawing/2014/main" id="{00000000-0008-0000-0700-0000BA6C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2</xdr:col>
      <xdr:colOff>91280</xdr:colOff>
      <xdr:row>24</xdr:row>
      <xdr:rowOff>39687</xdr:rowOff>
    </xdr:from>
    <xdr:to>
      <xdr:col>2</xdr:col>
      <xdr:colOff>182562</xdr:colOff>
      <xdr:row>25</xdr:row>
      <xdr:rowOff>111125</xdr:rowOff>
    </xdr:to>
    <xdr:sp macro="" textlink="">
      <xdr:nvSpPr>
        <xdr:cNvPr id="27898" name="IconChange">
          <a:extLst>
            <a:ext uri="{FF2B5EF4-FFF2-40B4-BE49-F238E27FC236}">
              <a16:creationId xmlns:a16="http://schemas.microsoft.com/office/drawing/2014/main" id="{00000000-0008-0000-0700-0000FA6C0000}"/>
            </a:ext>
          </a:extLst>
        </xdr:cNvPr>
        <xdr:cNvSpPr/>
      </xdr:nvSpPr>
      <xdr:spPr>
        <a:xfrm>
          <a:off x="1357311" y="2738437"/>
          <a:ext cx="182564" cy="23018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7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7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7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6" dataDxfId="15">
  <autoFilter ref="C10:E15" xr:uid="{9AB2E05D-F962-4437-8C25-968A8D81A33B}"/>
  <tableColumns count="3">
    <tableColumn id="1" xr3:uid="{E40585C6-AA1E-4378-8FA1-013B81035C47}" name="_" dataDxfId="19"/>
    <tableColumn id="2" xr3:uid="{A3FBC16F-3351-4DA9-87C2-02BC6B91C1DA}" name="код" dataDxfId="18"/>
    <tableColumn id="3" xr3:uid="{FFB792C0-5B37-4255-9E32-C44CFECBDBC7}" name="вид продукта" dataDxfId="17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9" dataDxfId="8">
  <autoFilter ref="BE7:BI12" xr:uid="{34B5A344-0BF3-48AE-95FB-6F5F149C5948}"/>
  <tableColumns count="5">
    <tableColumn id="1" xr3:uid="{AE8DAC00-3810-4D27-B40A-AC73F0E5B4EE}" name="_" dataDxfId="14"/>
    <tableColumn id="2" xr3:uid="{3C2D66EB-EC31-498F-96AA-40CB5F82FA9C}" name="код" dataDxfId="13"/>
    <tableColumn id="3" xr3:uid="{B1E919FF-7FB3-4EE9-B08D-D92643AECAA5}" name="сокращение" dataDxfId="12"/>
    <tableColumn id="4" xr3:uid="{BAC6E472-EA17-4306-A3A6-6BDA06BEECD1}" name="полное наименование" dataDxfId="11"/>
    <tableColumn id="5" xr3:uid="{0DEBBC26-A2CF-4390-80BC-FBD5AA2B9B3A}" name="примечание" dataDxfId="1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0">
  <autoFilter ref="C10:H13" xr:uid="{414E3600-3D03-4018-AD17-DE9E33487358}"/>
  <tableColumns count="6">
    <tableColumn id="1" xr3:uid="{F4B6389B-D552-4C24-9018-71D1B1A7DC32}" name="_" dataDxfId="6"/>
    <tableColumn id="2" xr3:uid="{E67CFB2F-7B06-4FF2-A236-86E785957E4A}" name="код" dataDxfId="5"/>
    <tableColumn id="3" xr3:uid="{A4C25AD8-E510-4C1A-8D1C-F8C6AF29BB35}" name="вид" dataDxfId="4"/>
    <tableColumn id="4" xr3:uid="{5D3BF8DD-0D7A-4378-8A93-C1D835FFDA40}" name="продукт" dataDxfId="3"/>
    <tableColumn id="5" xr3:uid="{8388628F-AB67-437A-A1BD-54B5DB9FDF39}" name="ед.изм." dataDxfId="2"/>
    <tableColumn id="6" xr3:uid="{BAFFFE42-3F65-4CE5-823E-F032ADAC93F2}" name="остаток" dataDxfId="1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topLeftCell="B1" workbookViewId="0">
      <selection activeCell="E7" sqref="E7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6" t="s">
        <v>18</v>
      </c>
      <c r="E7" s="24"/>
      <c r="BE7" s="25" t="s">
        <v>19</v>
      </c>
      <c r="BF7" s="25" t="s">
        <v>20</v>
      </c>
      <c r="BG7" s="25" t="s">
        <v>24</v>
      </c>
      <c r="BH7" s="25" t="s">
        <v>22</v>
      </c>
      <c r="BI7" s="25" t="s">
        <v>23</v>
      </c>
    </row>
    <row r="8" spans="3:61">
      <c r="BE8" s="26"/>
      <c r="BF8" s="26"/>
      <c r="BG8" s="26"/>
      <c r="BH8" s="26"/>
      <c r="BI8" s="26"/>
    </row>
    <row r="9" spans="3:61">
      <c r="BE9" s="26"/>
      <c r="BF9" s="26"/>
      <c r="BG9" s="26"/>
      <c r="BH9" s="26"/>
      <c r="BI9" s="26"/>
    </row>
    <row r="10" spans="3:61">
      <c r="C10" s="25" t="s">
        <v>19</v>
      </c>
      <c r="D10" s="27" t="s">
        <v>20</v>
      </c>
      <c r="E10" s="25" t="s">
        <v>21</v>
      </c>
      <c r="BE10" s="26"/>
      <c r="BF10" s="26"/>
      <c r="BG10" s="26"/>
      <c r="BH10" s="26"/>
      <c r="BI10" s="26"/>
    </row>
    <row r="11" spans="3:61">
      <c r="C11" s="26"/>
      <c r="D11" s="26"/>
      <c r="E11" s="26"/>
      <c r="BE11" s="26"/>
      <c r="BF11" s="26"/>
      <c r="BG11" s="26"/>
      <c r="BH11" s="26"/>
      <c r="BI11" s="26"/>
    </row>
    <row r="12" spans="3:61">
      <c r="C12" s="26"/>
      <c r="D12" s="26"/>
      <c r="E12" s="26"/>
      <c r="BE12" s="26"/>
      <c r="BF12" s="26"/>
      <c r="BG12" s="26"/>
      <c r="BH12" s="26"/>
      <c r="BI12" s="26"/>
    </row>
    <row r="13" spans="3:61">
      <c r="C13" s="26"/>
      <c r="D13" s="26"/>
      <c r="E13" s="26"/>
    </row>
    <row r="14" spans="3:61">
      <c r="C14" s="26"/>
      <c r="D14" s="26"/>
      <c r="E14" s="26"/>
    </row>
    <row r="15" spans="3:61">
      <c r="C15" s="26"/>
      <c r="D15" s="26"/>
      <c r="E15" s="26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10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10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10">
        <f>(12-11)/12</f>
        <v>8.3333333333333329E-2</v>
      </c>
      <c r="E3">
        <f>ROUND(C3/(100%+$D$5),)</f>
        <v>11</v>
      </c>
    </row>
    <row r="5" spans="1:5">
      <c r="D5" s="11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A1"/>
  <sheetViews>
    <sheetView showRowColHeaders="0" workbookViewId="0">
      <selection activeCell="H5" sqref="H5"/>
    </sheetView>
  </sheetViews>
  <sheetFormatPr defaultRowHeight="15"/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E15" sqref="E15:F1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8" t="s">
        <v>50</v>
      </c>
      <c r="BG4" s="17"/>
      <c r="BH4" s="17"/>
      <c r="BI4" s="17"/>
      <c r="BJ4" s="17"/>
      <c r="BK4" s="17"/>
      <c r="BM4" s="29" t="s">
        <v>51</v>
      </c>
      <c r="BN4" s="1"/>
    </row>
    <row r="6" spans="3:66" ht="16.5" thickBot="1">
      <c r="BF6" s="28" t="s">
        <v>52</v>
      </c>
      <c r="BG6" s="17"/>
      <c r="BH6" s="17"/>
      <c r="BI6" s="17"/>
      <c r="BJ6" s="17"/>
      <c r="BK6" s="17"/>
      <c r="BL6" s="17"/>
      <c r="BM6" s="17"/>
      <c r="BN6" s="17"/>
    </row>
    <row r="8" spans="3:66" ht="16.5" thickBot="1">
      <c r="BF8" s="28" t="s">
        <v>53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8" t="s">
        <v>54</v>
      </c>
      <c r="BG10" s="18"/>
      <c r="BH10" s="19"/>
      <c r="BI10" s="19"/>
      <c r="BJ10" s="19"/>
      <c r="BK10" s="19"/>
      <c r="BL10" s="19"/>
      <c r="BM10" s="19"/>
      <c r="BN10" s="19"/>
    </row>
    <row r="11" spans="3:66" ht="15.75" thickBot="1">
      <c r="C11" s="15"/>
      <c r="D11" s="15"/>
      <c r="E11" s="15"/>
      <c r="F11" s="15"/>
      <c r="G11" s="15"/>
      <c r="H11" s="15"/>
      <c r="BG11" s="20"/>
      <c r="BH11" s="20"/>
      <c r="BI11" s="20"/>
      <c r="BJ11" s="20"/>
      <c r="BK11" s="20"/>
      <c r="BL11" s="20"/>
      <c r="BM11" s="20"/>
      <c r="BN11" s="20"/>
    </row>
    <row r="12" spans="3:66">
      <c r="C12" s="15"/>
      <c r="D12" s="15"/>
      <c r="E12" s="15"/>
      <c r="F12" s="15"/>
      <c r="G12" s="15"/>
      <c r="H12" s="15"/>
    </row>
    <row r="13" spans="3:66" ht="15.75">
      <c r="C13" s="15"/>
      <c r="D13" s="15"/>
      <c r="E13" s="15"/>
      <c r="F13" s="15"/>
      <c r="G13" s="15"/>
      <c r="H13" s="15"/>
      <c r="BF13" s="30" t="s">
        <v>55</v>
      </c>
    </row>
    <row r="14" spans="3:66" ht="16.5" thickBot="1">
      <c r="BF14" s="28" t="s">
        <v>56</v>
      </c>
      <c r="BH14" s="21"/>
    </row>
    <row r="15" spans="3:66" ht="16.5" thickBot="1">
      <c r="BF15" s="28" t="s">
        <v>57</v>
      </c>
      <c r="BH15" s="23"/>
    </row>
    <row r="16" spans="3:66" ht="16.5" thickBot="1">
      <c r="BF16" s="28" t="s">
        <v>58</v>
      </c>
      <c r="BH16" s="23"/>
    </row>
    <row r="17" spans="58:60" ht="16.5" thickBot="1">
      <c r="BF17" s="28" t="s">
        <v>59</v>
      </c>
      <c r="BH17" s="22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B6B52-D779-4E17-A643-B1BE35F8E81F}">
  <sheetPr codeName="Sheet118"/>
  <dimension ref="A1"/>
  <sheetViews>
    <sheetView showGridLines="0" tabSelected="1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D161D-DEDC-4AA6-91B7-6AA119B0F67B}">
  <sheetPr codeName="Sheet117"/>
  <dimension ref="B2:F10"/>
  <sheetViews>
    <sheetView workbookViewId="0">
      <selection activeCell="B6" sqref="B6"/>
    </sheetView>
  </sheetViews>
  <sheetFormatPr defaultRowHeight="12"/>
  <cols>
    <col min="1" max="1" width="4.7109375" style="12" customWidth="1"/>
    <col min="2" max="2" width="14.140625" style="12" bestFit="1" customWidth="1"/>
    <col min="3" max="3" width="12" style="12" bestFit="1" customWidth="1"/>
    <col min="4" max="4" width="5" style="12" bestFit="1" customWidth="1"/>
    <col min="5" max="5" width="4" style="12" bestFit="1" customWidth="1"/>
    <col min="6" max="6" width="9" style="12" bestFit="1" customWidth="1"/>
    <col min="7" max="16384" width="9.140625" style="12"/>
  </cols>
  <sheetData>
    <row r="2" spans="2:6">
      <c r="B2" s="13" t="s">
        <v>30</v>
      </c>
      <c r="C2" s="13" t="s">
        <v>32</v>
      </c>
    </row>
    <row r="3" spans="2:6">
      <c r="B3" s="12" t="s">
        <v>31</v>
      </c>
    </row>
    <row r="4" spans="2:6">
      <c r="B4" s="12" t="s">
        <v>44</v>
      </c>
      <c r="C4" s="12">
        <v>2113890685328</v>
      </c>
    </row>
    <row r="6" spans="2:6">
      <c r="B6" s="13" t="s">
        <v>45</v>
      </c>
      <c r="C6" s="13" t="s">
        <v>32</v>
      </c>
      <c r="D6" s="13" t="s">
        <v>46</v>
      </c>
      <c r="E6" s="13" t="s">
        <v>47</v>
      </c>
      <c r="F6" s="13" t="s">
        <v>48</v>
      </c>
    </row>
    <row r="7" spans="2:6">
      <c r="B7" s="14">
        <v>1</v>
      </c>
      <c r="C7" s="12" t="s">
        <v>49</v>
      </c>
    </row>
    <row r="8" spans="2:6">
      <c r="B8" s="14">
        <v>2</v>
      </c>
      <c r="C8" s="12" t="s">
        <v>4</v>
      </c>
      <c r="D8" s="12">
        <v>137</v>
      </c>
    </row>
    <row r="9" spans="2:6">
      <c r="B9" s="14">
        <v>3</v>
      </c>
      <c r="C9" s="12" t="s">
        <v>5</v>
      </c>
    </row>
    <row r="10" spans="2:6">
      <c r="B10" s="14">
        <v>4</v>
      </c>
      <c r="C10" s="12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35"/>
  <sheetViews>
    <sheetView showFormulas="1" showRuler="0" topLeftCell="A6" zoomScale="120" zoomScaleNormal="120" workbookViewId="0">
      <selection activeCell="E24" sqref="E24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  <row r="24" spans="2:3">
      <c r="C24" s="7"/>
    </row>
    <row r="25" spans="2:3">
      <c r="B25" s="9"/>
      <c r="C25" s="9"/>
    </row>
    <row r="26" spans="2:3">
      <c r="B26" s="9"/>
      <c r="C26" s="9"/>
    </row>
    <row r="27" spans="2:3">
      <c r="B27" s="9"/>
      <c r="C27" s="9"/>
    </row>
    <row r="28" spans="2:3">
      <c r="B28" s="9"/>
      <c r="C28" s="9"/>
    </row>
    <row r="29" spans="2:3">
      <c r="B29" s="9"/>
      <c r="C29" s="9"/>
    </row>
    <row r="30" spans="2:3">
      <c r="B30" s="9"/>
      <c r="C30" s="9"/>
    </row>
    <row r="31" spans="2:3">
      <c r="B31" s="9"/>
      <c r="C31" s="9"/>
    </row>
    <row r="32" spans="2:3">
      <c r="B32" s="9"/>
      <c r="C32" s="9"/>
    </row>
    <row r="33" spans="2:3">
      <c r="B33" s="9"/>
      <c r="C33" s="9"/>
    </row>
    <row r="34" spans="2:3">
      <c r="B34" s="9"/>
      <c r="C34" s="9"/>
    </row>
    <row r="35" spans="2:3">
      <c r="B35" s="9"/>
      <c r="C35" s="9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exim" Type="http://schemas.openxmlformats.org/officeDocument/2006/relationships/image" Target="images/exim.png"/><Relationship Id="folder" Type="http://schemas.openxmlformats.org/officeDocument/2006/relationships/image" Target="images/folder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DataBase" getLabel="GetLabel" getVisible="GetVisible" getScreentip="GetScreenTip" getSupertip="GetSuperTip" autoScale="true" centerVertically="true">
          <button id="btnDataBasePath" image="database" getLabel="GetLabel" getScreentip="GetScreenTip" getSupertip="GetSuperTip" getVisible="GetVisible" getSize="GetSize" onAction="ButtonOnAction" tag="user"/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group id="gpInterface" getLabel="GetLabel" getVisible="GetVisible" getScreentip="GetScreenTip" getSupertip="GetSuperTip" autoScale="true" centerVertically="false">
          <checkBox id="chkFormula" getLabel="GetLabel" getScreentip="GetScreenTip" getSupertip="GetSuperTip" getVisible="GetVisible" getPressed="GetPressed" onAction="CheckBoxOnAction" tag="user"/>
          <checkBox id="chkHeadings" getLabel="GetLabel" getScreentip="GetScreenTip" getSupertip="GetSuperTip" getVisible="GetVisible" getPressed="GetPressed" onAction="CheckBoxOnAction" tag="user"/>
          <checkBox id="chkSheetTabs" getLabel="GetLabel" getScreentip="GetScreenTip" getSupertip="GetSuperTip" getVisible="GetVisible" getPressed="GetPressed" onAction="CheckBoxOnAction" tag="user"/>
          <checkBox id="chkScrollBars" getLabel="GetLabel" getScreentip="GetScreenTip" getSupertip="GetSuperTip" getVisible="GetVisible" getPressed="GetPressed" onAction="CheckBoxOnAction" tag="user"/>
        </group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справочники</vt:lpstr>
      <vt:lpstr>dimens</vt:lpstr>
      <vt:lpstr>result</vt:lpstr>
      <vt:lpstr>продукты</vt:lpstr>
      <vt:lpstr>старт</vt:lpstr>
      <vt:lpstr>settings</vt:lpstr>
      <vt:lpstr>TableList</vt:lpstr>
      <vt:lpstr>databasepath</vt:lpstr>
      <vt:lpstr>ID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SheetID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myshkarus</cp:lastModifiedBy>
  <dcterms:created xsi:type="dcterms:W3CDTF">2018-08-13T09:25:21Z</dcterms:created>
  <dcterms:modified xsi:type="dcterms:W3CDTF">2018-09-23T19:28:10Z</dcterms:modified>
</cp:coreProperties>
</file>