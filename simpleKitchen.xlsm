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ment\simplekitchen\"/>
    </mc:Choice>
  </mc:AlternateContent>
  <xr:revisionPtr revIDLastSave="0" documentId="13_ncr:1_{BE9E60C6-0D19-4E67-B200-7B079B33F4A0}" xr6:coauthVersionLast="37" xr6:coauthVersionMax="37" xr10:uidLastSave="{00000000-0000-0000-0000-000000000000}"/>
  <bookViews>
    <workbookView xWindow="0" yWindow="0" windowWidth="28800" windowHeight="12225" tabRatio="635" activeTab="5" xr2:uid="{94A0F0E1-FEAD-4178-AFB9-E98960C5C76F}"/>
  </bookViews>
  <sheets>
    <sheet name="справочники" sheetId="48" r:id="rId1"/>
    <sheet name="dimens" sheetId="149" r:id="rId2"/>
    <sheet name="result" sheetId="65" r:id="rId3"/>
    <sheet name="resources" sheetId="120" state="veryHidden" r:id="rId4"/>
    <sheet name="старт" sheetId="429" r:id="rId5"/>
    <sheet name="settings" sheetId="430" r:id="rId6"/>
    <sheet name="продукты" sheetId="286" r:id="rId7"/>
    <sheet name="TableList" sheetId="1" r:id="rId8"/>
  </sheets>
  <functionGroups builtInGroupCount="19"/>
  <definedNames>
    <definedName name="computer">settings!$C$5</definedName>
    <definedName name="databasepath">settings!$C$3</definedName>
    <definedName name="formulabar">settings!$C$8</definedName>
    <definedName name="headings">settings!$C$10</definedName>
    <definedName name="ID">TableList!$B$5</definedName>
    <definedName name="MAC">settings!$C$6</definedName>
    <definedName name="product_белки">продукты!$BH$15</definedName>
    <definedName name="product_вид">продукты!$BG$4:$BK$4</definedName>
    <definedName name="product_жиры">продукты!$BH$16</definedName>
    <definedName name="product_измерение">продукты!$BG$8</definedName>
    <definedName name="product_калорийность">продукты!$BH$14</definedName>
    <definedName name="product_код">продукты!$BN$4</definedName>
    <definedName name="product_описание">продукты!$BG$10:$BN$11</definedName>
    <definedName name="product_продукт">продукты!$BG$6:$BN$6</definedName>
    <definedName name="product_углеводы">продукты!$BH$17</definedName>
    <definedName name="ref_вид">справочники!$E$7</definedName>
    <definedName name="ref_едизм">#REF!</definedName>
    <definedName name="ribbonpointer">settings!$C$4</definedName>
    <definedName name="scrollbar">settings!$C$9</definedName>
    <definedName name="SheetID">settings!$B$12</definedName>
    <definedName name="tabs">settings!$C$7</definedName>
    <definedName name="группа__вид">#REF!</definedName>
    <definedName name="описание">#REF!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49" l="1"/>
  <c r="E2" i="149"/>
  <c r="E1" i="149"/>
  <c r="D3" i="149"/>
  <c r="D2" i="149"/>
  <c r="D1" i="149"/>
</calcChain>
</file>

<file path=xl/sharedStrings.xml><?xml version="1.0" encoding="utf-8"?>
<sst xmlns="http://schemas.openxmlformats.org/spreadsheetml/2006/main" count="79" uniqueCount="68">
  <si>
    <t>Controls</t>
  </si>
  <si>
    <t>Option2</t>
  </si>
  <si>
    <t>Option3</t>
  </si>
  <si>
    <t>Этап разработки</t>
  </si>
  <si>
    <t>продукты</t>
  </si>
  <si>
    <t>блюда</t>
  </si>
  <si>
    <t>Техкарта</t>
  </si>
  <si>
    <t>Калькуляции</t>
  </si>
  <si>
    <t>Меню</t>
  </si>
  <si>
    <t>Закупка</t>
  </si>
  <si>
    <t>Списание</t>
  </si>
  <si>
    <t>Расход</t>
  </si>
  <si>
    <t>Стартовая</t>
  </si>
  <si>
    <t>Приход</t>
  </si>
  <si>
    <t>Остатки</t>
  </si>
  <si>
    <t>Остатки блюда</t>
  </si>
  <si>
    <t>test</t>
  </si>
  <si>
    <t>справочники</t>
  </si>
  <si>
    <t>Найти:</t>
  </si>
  <si>
    <t>_</t>
  </si>
  <si>
    <t>код</t>
  </si>
  <si>
    <t>вид продукта</t>
  </si>
  <si>
    <t>полное наименование</t>
  </si>
  <si>
    <t>примечание</t>
  </si>
  <si>
    <t>сокращение</t>
  </si>
  <si>
    <t xml:space="preserve"> </t>
  </si>
  <si>
    <t>вид</t>
  </si>
  <si>
    <t>продукт</t>
  </si>
  <si>
    <t>ед.изм.</t>
  </si>
  <si>
    <t>остаток</t>
  </si>
  <si>
    <t>Settings</t>
  </si>
  <si>
    <t>databasepath</t>
  </si>
  <si>
    <t>Value</t>
  </si>
  <si>
    <t>[table code]</t>
  </si>
  <si>
    <t>unique [Sheet name]</t>
  </si>
  <si>
    <t>number of controls</t>
  </si>
  <si>
    <t>Value (Worksheet)</t>
  </si>
  <si>
    <t>1366x768</t>
  </si>
  <si>
    <t>font 13 -&gt; 12</t>
  </si>
  <si>
    <t>font 25 -&gt; 22</t>
  </si>
  <si>
    <t>font 12 -&gt; 11</t>
  </si>
  <si>
    <t xml:space="preserve">на кнопках </t>
  </si>
  <si>
    <t>font 10 -&gt; 8</t>
  </si>
  <si>
    <t>font 11 -&gt; 10</t>
  </si>
  <si>
    <t>группа (вид):</t>
  </si>
  <si>
    <t>код продукта:</t>
  </si>
  <si>
    <t>название:</t>
  </si>
  <si>
    <t>ед.изм:</t>
  </si>
  <si>
    <t>описание:</t>
  </si>
  <si>
    <t>характеристики:</t>
  </si>
  <si>
    <t>калорийность (ккал):</t>
  </si>
  <si>
    <t>белки (г/100г):</t>
  </si>
  <si>
    <t>жиры (г/100г):</t>
  </si>
  <si>
    <t>углеводы (г/100г):</t>
  </si>
  <si>
    <t>ribbonpointer</t>
  </si>
  <si>
    <t>computer</t>
  </si>
  <si>
    <t>MAC</t>
  </si>
  <si>
    <t>tabs</t>
  </si>
  <si>
    <t>formulabar</t>
  </si>
  <si>
    <t>scrollbar</t>
  </si>
  <si>
    <t>headings</t>
  </si>
  <si>
    <t>Code</t>
  </si>
  <si>
    <t>Ctls</t>
  </si>
  <si>
    <t>Opt</t>
  </si>
  <si>
    <t>DevStage</t>
  </si>
  <si>
    <t>старт</t>
  </si>
  <si>
    <t>T-R850</t>
  </si>
  <si>
    <t>68:A3:C4:FC:C9:C6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</si>
</sst>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>
    <font>
      <sz val="11"/>
      <color theme="1"/>
      <name val="Calibri"/>
      <family val="2"/>
      <charset val="204"/>
      <scheme val="minor"/>
    </font>
    <font>
      <sz val="10"/>
      <color theme="0"/>
      <name val="Шрифт основного тексту"/>
      <family val="2"/>
      <charset val="204"/>
    </font>
    <font>
      <sz val="10"/>
      <name val="Arial"/>
      <family val="2"/>
      <charset val="204"/>
    </font>
    <font>
      <sz val="10"/>
      <color rgb="FF9C0006"/>
      <name val="Шрифт основного тексту"/>
      <family val="2"/>
      <charset val="204"/>
    </font>
    <font>
      <b/>
      <sz val="11"/>
      <color rgb="FF505066"/>
      <name val="Calibri"/>
      <family val="2"/>
      <charset val="204"/>
      <scheme val="minor"/>
    </font>
    <font>
      <sz val="11"/>
      <color rgb="FF6E6E6E"/>
      <name val="Calibri Light"/>
      <family val="2"/>
      <charset val="204"/>
    </font>
    <font>
      <sz val="11"/>
      <color rgb="FF787894"/>
      <name val="Calibri Light"/>
      <family val="2"/>
      <charset val="204"/>
    </font>
    <font>
      <sz val="10"/>
      <color rgb="FF505066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9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7"/>
      <color rgb="FF9C0006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color rgb="FF787894"/>
      <name val="Calibri Light"/>
      <family val="2"/>
      <charset val="204"/>
    </font>
    <font>
      <sz val="11"/>
      <color rgb="FF505066"/>
      <name val="Calibri"/>
      <family val="2"/>
      <charset val="204"/>
      <scheme val="minor"/>
    </font>
    <font>
      <sz val="12"/>
      <color rgb="FF6E6E6E"/>
      <name val="Calibri Light"/>
      <family val="2"/>
      <charset val="204"/>
    </font>
    <font>
      <u/>
      <sz val="12"/>
      <color rgb="FF6E6E6E"/>
      <name val="Calibri"/>
      <family val="2"/>
      <charset val="204"/>
      <scheme val="minor"/>
    </font>
    <font>
      <sz val="9"/>
      <color rgb="FFFFFFFF"/>
      <name val="Courier New"/>
      <family val="3"/>
      <charset val="204"/>
    </font>
    <font>
      <sz val="9"/>
      <color theme="1"/>
      <name val="Courier New"/>
      <family val="3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rgb="FFFFFFFF"/>
        <bgColor indexed="64"/>
      </patternFill>
    </fill>
    <fill>
      <patternFill patternType="solid">
        <fgColor rgb="FFC8C2C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4646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C8C8C8"/>
      </bottom>
      <diagonal/>
    </border>
    <border>
      <left/>
      <right/>
      <top style="medium">
        <color rgb="FFC8C8C8"/>
      </top>
      <bottom style="medium">
        <color rgb="FFC8C8C8"/>
      </bottom>
      <diagonal/>
    </border>
    <border>
      <left/>
      <right/>
      <top style="medium">
        <color rgb="FFC8C8C8"/>
      </top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/>
    <xf numFmtId="9" fontId="12" fillId="0" borderId="0" applyFont="0" applyFill="0" applyBorder="0" applyAlignment="0" applyProtection="0"/>
  </cellStyleXfs>
  <cellXfs count="32">
    <xf numFmtId="0" fontId="0" fillId="0" borderId="0" xfId="0"/>
    <xf numFmtId="0" fontId="4" fillId="4" borderId="1" xfId="0" applyFont="1" applyFill="1" applyBorder="1" applyProtection="1">
      <protection locked="0"/>
    </xf>
    <xf numFmtId="0" fontId="6" fillId="0" borderId="0" xfId="0" applyFont="1" applyFill="1" applyAlignment="1">
      <alignment horizontal="center"/>
    </xf>
    <xf numFmtId="0" fontId="0" fillId="5" borderId="0" xfId="0" applyFill="1"/>
    <xf numFmtId="0" fontId="8" fillId="0" borderId="0" xfId="3" applyFont="1"/>
    <xf numFmtId="0" fontId="9" fillId="3" borderId="0" xfId="2" applyFont="1"/>
    <xf numFmtId="0" fontId="8" fillId="0" borderId="0" xfId="3" applyFont="1" applyAlignment="1">
      <alignment horizontal="left"/>
    </xf>
    <xf numFmtId="0" fontId="10" fillId="0" borderId="0" xfId="3" applyFont="1"/>
    <xf numFmtId="0" fontId="11" fillId="0" borderId="0" xfId="1" applyFont="1" applyFill="1"/>
    <xf numFmtId="164" fontId="0" fillId="0" borderId="0" xfId="4" applyNumberFormat="1" applyFont="1"/>
    <xf numFmtId="164" fontId="0" fillId="6" borderId="0" xfId="0" applyNumberFormat="1" applyFill="1"/>
    <xf numFmtId="0" fontId="14" fillId="0" borderId="0" xfId="0" applyFont="1" applyFill="1" applyProtection="1">
      <protection locked="0"/>
    </xf>
    <xf numFmtId="0" fontId="5" fillId="5" borderId="0" xfId="0" applyFont="1" applyFill="1" applyProtection="1"/>
    <xf numFmtId="0" fontId="4" fillId="4" borderId="0" xfId="0" applyFont="1" applyFill="1" applyBorder="1" applyProtection="1">
      <protection locked="0"/>
    </xf>
    <xf numFmtId="0" fontId="4" fillId="4" borderId="2" xfId="0" applyFont="1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0" fontId="4" fillId="5" borderId="1" xfId="0" applyFont="1" applyFill="1" applyBorder="1" applyProtection="1">
      <protection locked="0"/>
    </xf>
    <xf numFmtId="0" fontId="6" fillId="5" borderId="0" xfId="0" applyFont="1" applyFill="1" applyAlignment="1">
      <alignment horizontal="center"/>
    </xf>
    <xf numFmtId="0" fontId="7" fillId="5" borderId="0" xfId="0" applyFont="1" applyFill="1" applyProtection="1">
      <protection locked="0"/>
    </xf>
    <xf numFmtId="0" fontId="13" fillId="5" borderId="0" xfId="0" applyFont="1" applyFill="1" applyAlignment="1">
      <alignment horizontal="center"/>
    </xf>
    <xf numFmtId="0" fontId="15" fillId="5" borderId="0" xfId="0" applyFont="1" applyFill="1" applyProtection="1"/>
    <xf numFmtId="0" fontId="15" fillId="5" borderId="0" xfId="0" applyFont="1" applyFill="1" applyAlignment="1" applyProtection="1">
      <alignment horizontal="right" indent="1"/>
    </xf>
    <xf numFmtId="0" fontId="16" fillId="5" borderId="0" xfId="0" applyFont="1" applyFill="1" applyProtection="1"/>
    <xf numFmtId="0" fontId="8" fillId="7" borderId="0" xfId="3" applyFont="1" applyFill="1"/>
    <xf numFmtId="0" fontId="10" fillId="7" borderId="0" xfId="3" applyFont="1" applyFill="1"/>
    <xf numFmtId="0" fontId="0" fillId="7" borderId="0" xfId="0" applyFill="1"/>
    <xf numFmtId="0" fontId="4" fillId="4" borderId="1" xfId="0" applyFont="1" applyFill="1" applyBorder="1" applyAlignment="1" applyProtection="1">
      <alignment horizontal="left"/>
      <protection locked="0"/>
    </xf>
    <xf numFmtId="0" fontId="4" fillId="4" borderId="0" xfId="0" applyFont="1" applyFill="1" applyBorder="1" applyAlignment="1" applyProtection="1">
      <alignment horizontal="left" vertical="top" wrapText="1"/>
      <protection locked="0"/>
    </xf>
    <xf numFmtId="0" fontId="4" fillId="4" borderId="0" xfId="0" applyFont="1" applyFill="1" applyBorder="1" applyAlignment="1" applyProtection="1">
      <alignment vertical="top" wrapText="1"/>
      <protection locked="0"/>
    </xf>
    <xf numFmtId="0" fontId="4" fillId="4" borderId="1" xfId="0" applyFont="1" applyFill="1" applyBorder="1" applyAlignment="1" applyProtection="1">
      <alignment vertical="top" wrapText="1"/>
      <protection locked="0"/>
    </xf>
    <xf numFmtId="0" fontId="18" fillId="0" borderId="0" xfId="0" applyFont="1" applyAlignment="1">
      <alignment horizontal="left"/>
    </xf>
    <xf numFmtId="0" fontId="17" fillId="8" borderId="0" xfId="0" applyFont="1" applyFill="1" applyAlignment="1">
      <alignment horizontal="left"/>
    </xf>
  </cellXfs>
  <cellStyles count="5">
    <cellStyle name="Accent1" xfId="2" builtinId="29"/>
    <cellStyle name="Bad" xfId="1" builtinId="27"/>
    <cellStyle name="Normal" xfId="0" builtinId="0"/>
    <cellStyle name="Normal 2" xfId="3" xr:uid="{1B38135D-4E4B-4088-8223-2CBC0F4F26B6}"/>
    <cellStyle name="Percent" xfId="4" builtinId="5"/>
  </cellStyles>
  <dxfs count="20"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rgb="FFC8C2C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rgb="FFC8C2C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0</xdr:row>
      <xdr:rowOff>63500</xdr:rowOff>
    </xdr:from>
    <xdr:to>
      <xdr:col>4</xdr:col>
      <xdr:colOff>2279650</xdr:colOff>
      <xdr:row>2</xdr:row>
      <xdr:rowOff>114300</xdr:rowOff>
    </xdr:to>
    <xdr:sp macro="" textlink="">
      <xdr:nvSpPr>
        <xdr:cNvPr id="156" name="Прямокутник 155" descr="0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>
          <a:spLocks noChangeAspect="1"/>
        </xdr:cNvSpPr>
      </xdr:nvSpPr>
      <xdr:spPr>
        <a:xfrm>
          <a:off x="180975" y="63500"/>
          <a:ext cx="3175000" cy="431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2</xdr:col>
      <xdr:colOff>0</xdr:colOff>
      <xdr:row>2</xdr:row>
      <xdr:rowOff>177800</xdr:rowOff>
    </xdr:from>
    <xdr:to>
      <xdr:col>4</xdr:col>
      <xdr:colOff>374650</xdr:colOff>
      <xdr:row>4</xdr:row>
      <xdr:rowOff>63500</xdr:rowOff>
    </xdr:to>
    <xdr:sp macro="ProductTypeRef" textlink="">
      <xdr:nvSpPr>
        <xdr:cNvPr id="157" name="ref_producttype" descr="C0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>
          <a:spLocks noChangeAspect="1"/>
        </xdr:cNvSpPr>
      </xdr:nvSpPr>
      <xdr:spPr>
        <a:xfrm>
          <a:off x="180975" y="558800"/>
          <a:ext cx="1270000" cy="2667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000" b="1">
              <a:solidFill>
                <a:srgbClr val="FAFAFA"/>
              </a:solidFill>
            </a:rPr>
            <a:t>виды продуктов</a:t>
          </a:r>
        </a:p>
      </xdr:txBody>
    </xdr:sp>
    <xdr:clientData fLocksWithSheet="0"/>
  </xdr:twoCellAnchor>
  <xdr:twoCellAnchor editAs="absolute">
    <xdr:from>
      <xdr:col>4</xdr:col>
      <xdr:colOff>412750</xdr:colOff>
      <xdr:row>2</xdr:row>
      <xdr:rowOff>177800</xdr:rowOff>
    </xdr:from>
    <xdr:to>
      <xdr:col>4</xdr:col>
      <xdr:colOff>1682750</xdr:colOff>
      <xdr:row>4</xdr:row>
      <xdr:rowOff>63500</xdr:rowOff>
    </xdr:to>
    <xdr:sp macro="MeasureRef" textlink="">
      <xdr:nvSpPr>
        <xdr:cNvPr id="158" name="ref_measure" descr="C0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>
          <a:spLocks noChangeAspect="1"/>
        </xdr:cNvSpPr>
      </xdr:nvSpPr>
      <xdr:spPr>
        <a:xfrm>
          <a:off x="1489075" y="558800"/>
          <a:ext cx="1270000" cy="266700"/>
        </a:xfrm>
        <a:prstGeom prst="rect">
          <a:avLst/>
        </a:prstGeom>
        <a:solidFill>
          <a:srgbClr val="505066"/>
        </a:solidFill>
        <a:ln>
          <a:solidFill>
            <a:srgbClr val="6E6E6E"/>
          </a:solidFill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38100" dist="50800" dir="5400000" sx="90000" sy="-19000">
                  <a:prstClr val="black">
                    <a:alpha val="15000"/>
                  </a:prstClr>
                </a:out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ед.измерения</a:t>
          </a:r>
        </a:p>
      </xdr:txBody>
    </xdr:sp>
    <xdr:clientData fLocksWithSheet="0"/>
  </xdr:twoCellAnchor>
  <xdr:twoCellAnchor>
    <xdr:from>
      <xdr:col>4</xdr:col>
      <xdr:colOff>5870575</xdr:colOff>
      <xdr:row>7</xdr:row>
      <xdr:rowOff>127000</xdr:rowOff>
    </xdr:from>
    <xdr:to>
      <xdr:col>5</xdr:col>
      <xdr:colOff>0</xdr:colOff>
      <xdr:row>8</xdr:row>
      <xdr:rowOff>114300</xdr:rowOff>
    </xdr:to>
    <xdr:grpSp>
      <xdr:nvGrpSpPr>
        <xdr:cNvPr id="161" name="ref_deleteproducttype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GrpSpPr/>
      </xdr:nvGrpSpPr>
      <xdr:grpSpPr>
        <a:xfrm>
          <a:off x="6946900" y="1470025"/>
          <a:ext cx="177800" cy="177800"/>
          <a:chOff x="6946900" y="1470025"/>
          <a:chExt cx="177800" cy="177800"/>
        </a:xfrm>
      </xdr:grpSpPr>
      <xdr:sp macro="" textlink="">
        <xdr:nvSpPr>
          <xdr:cNvPr id="159" name="ref_deleteproducttypeIcon" descr="A0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>
            <a:spLocks noChangeAspect="1"/>
          </xdr:cNvSpPr>
        </xdr:nvSpPr>
        <xdr:spPr>
          <a:xfrm>
            <a:off x="6946900" y="1470025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0" name="IconDelete0.3477264" descr="Close">
            <a:extLst>
              <a:ext uri="{FF2B5EF4-FFF2-40B4-BE49-F238E27FC236}">
                <a16:creationId xmlns:a16="http://schemas.microsoft.com/office/drawing/2014/main" id="{00000000-0008-0000-0000-0000A0000000}"/>
              </a:ext>
            </a:extLst>
          </xdr:cNvPr>
          <xdr:cNvSpPr/>
        </xdr:nvSpPr>
        <xdr:spPr>
          <a:xfrm>
            <a:off x="6964680" y="1487805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5502275</xdr:colOff>
      <xdr:row>7</xdr:row>
      <xdr:rowOff>127000</xdr:rowOff>
    </xdr:from>
    <xdr:to>
      <xdr:col>4</xdr:col>
      <xdr:colOff>5680075</xdr:colOff>
      <xdr:row>8</xdr:row>
      <xdr:rowOff>114300</xdr:rowOff>
    </xdr:to>
    <xdr:grpSp>
      <xdr:nvGrpSpPr>
        <xdr:cNvPr id="164" name="ref_changeproducttype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GrpSpPr/>
      </xdr:nvGrpSpPr>
      <xdr:grpSpPr>
        <a:xfrm>
          <a:off x="6578600" y="1470025"/>
          <a:ext cx="177800" cy="177800"/>
          <a:chOff x="6578600" y="1470025"/>
          <a:chExt cx="177800" cy="177800"/>
        </a:xfrm>
      </xdr:grpSpPr>
      <xdr:sp macro="" textlink="">
        <xdr:nvSpPr>
          <xdr:cNvPr id="162" name="ref_changeproducttypeIcon" descr="A0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SpPr>
            <a:spLocks noChangeAspect="1"/>
          </xdr:cNvSpPr>
        </xdr:nvSpPr>
        <xdr:spPr>
          <a:xfrm>
            <a:off x="6578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3" name="IconChange0.4799783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SpPr/>
        </xdr:nvSpPr>
        <xdr:spPr>
          <a:xfrm>
            <a:off x="6596380" y="1487805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5248275</xdr:colOff>
      <xdr:row>7</xdr:row>
      <xdr:rowOff>127000</xdr:rowOff>
    </xdr:from>
    <xdr:to>
      <xdr:col>4</xdr:col>
      <xdr:colOff>5426075</xdr:colOff>
      <xdr:row>8</xdr:row>
      <xdr:rowOff>114300</xdr:rowOff>
    </xdr:to>
    <xdr:grpSp>
      <xdr:nvGrpSpPr>
        <xdr:cNvPr id="167" name="ref_addproducttype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GrpSpPr/>
      </xdr:nvGrpSpPr>
      <xdr:grpSpPr>
        <a:xfrm>
          <a:off x="6324600" y="1470025"/>
          <a:ext cx="177800" cy="177800"/>
          <a:chOff x="6324600" y="1470025"/>
          <a:chExt cx="177800" cy="177800"/>
        </a:xfrm>
      </xdr:grpSpPr>
      <xdr:sp macro="" textlink="">
        <xdr:nvSpPr>
          <xdr:cNvPr id="165" name="ref_addproducttypeIcon" descr="A0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>
            <a:spLocks noChangeAspect="1"/>
          </xdr:cNvSpPr>
        </xdr:nvSpPr>
        <xdr:spPr>
          <a:xfrm>
            <a:off x="6324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6" name="IconAdd0.9937313" descr="Add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/>
        </xdr:nvSpPr>
        <xdr:spPr>
          <a:xfrm>
            <a:off x="6342380" y="1487805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4994275</xdr:colOff>
      <xdr:row>7</xdr:row>
      <xdr:rowOff>127000</xdr:rowOff>
    </xdr:from>
    <xdr:to>
      <xdr:col>4</xdr:col>
      <xdr:colOff>5172075</xdr:colOff>
      <xdr:row>8</xdr:row>
      <xdr:rowOff>114300</xdr:rowOff>
    </xdr:to>
    <xdr:grpSp>
      <xdr:nvGrpSpPr>
        <xdr:cNvPr id="173" name="ref_sortproducttype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GrpSpPr/>
      </xdr:nvGrpSpPr>
      <xdr:grpSpPr>
        <a:xfrm>
          <a:off x="6070600" y="1470025"/>
          <a:ext cx="177800" cy="177800"/>
          <a:chOff x="6070600" y="1470025"/>
          <a:chExt cx="177800" cy="177800"/>
        </a:xfrm>
      </xdr:grpSpPr>
      <xdr:sp macro="" textlink="">
        <xdr:nvSpPr>
          <xdr:cNvPr id="168" name="ref_sortproducttypeIcon" descr="A0">
            <a:extLst>
              <a:ext uri="{FF2B5EF4-FFF2-40B4-BE49-F238E27FC236}">
                <a16:creationId xmlns:a16="http://schemas.microsoft.com/office/drawing/2014/main" id="{00000000-0008-0000-0000-0000A8000000}"/>
              </a:ext>
            </a:extLst>
          </xdr:cNvPr>
          <xdr:cNvSpPr>
            <a:spLocks noChangeAspect="1"/>
          </xdr:cNvSpPr>
        </xdr:nvSpPr>
        <xdr:spPr>
          <a:xfrm>
            <a:off x="6070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69" name="IconSort2.888578E-02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GrpSpPr/>
        </xdr:nvGrpSpPr>
        <xdr:grpSpPr>
          <a:xfrm>
            <a:off x="6088380" y="1487805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70" name="Freeform: Shape 27831">
              <a:extLst>
                <a:ext uri="{FF2B5EF4-FFF2-40B4-BE49-F238E27FC236}">
                  <a16:creationId xmlns:a16="http://schemas.microsoft.com/office/drawing/2014/main" id="{00000000-0008-0000-0000-0000A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1" name="Freeform: Shape 27832">
              <a:extLst>
                <a:ext uri="{FF2B5EF4-FFF2-40B4-BE49-F238E27FC236}">
                  <a16:creationId xmlns:a16="http://schemas.microsoft.com/office/drawing/2014/main" id="{00000000-0008-0000-0000-0000A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2" name="Freeform: Shape 27833">
              <a:extLst>
                <a:ext uri="{FF2B5EF4-FFF2-40B4-BE49-F238E27FC236}">
                  <a16:creationId xmlns:a16="http://schemas.microsoft.com/office/drawing/2014/main" id="{00000000-0008-0000-0000-0000A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2</xdr:col>
      <xdr:colOff>0</xdr:colOff>
      <xdr:row>4</xdr:row>
      <xdr:rowOff>101600</xdr:rowOff>
    </xdr:from>
    <xdr:to>
      <xdr:col>4</xdr:col>
      <xdr:colOff>1682750</xdr:colOff>
      <xdr:row>4</xdr:row>
      <xdr:rowOff>101600</xdr:rowOff>
    </xdr:to>
    <xdr:cxnSp macro="">
      <xdr:nvCxnSpPr>
        <xdr:cNvPr id="174" name="Пряма сполучна лінія 173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CxnSpPr/>
      </xdr:nvCxnSpPr>
      <xdr:spPr>
        <a:xfrm>
          <a:off x="180975" y="863600"/>
          <a:ext cx="2578100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869950</xdr:colOff>
      <xdr:row>4</xdr:row>
      <xdr:rowOff>127000</xdr:rowOff>
    </xdr:from>
    <xdr:to>
      <xdr:col>61</xdr:col>
      <xdr:colOff>0</xdr:colOff>
      <xdr:row>5</xdr:row>
      <xdr:rowOff>114300</xdr:rowOff>
    </xdr:to>
    <xdr:grpSp>
      <xdr:nvGrpSpPr>
        <xdr:cNvPr id="177" name="ref_deletemeasure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GrpSpPr/>
      </xdr:nvGrpSpPr>
      <xdr:grpSpPr>
        <a:xfrm>
          <a:off x="49618900" y="889000"/>
          <a:ext cx="177800" cy="177800"/>
          <a:chOff x="49618900" y="889000"/>
          <a:chExt cx="177800" cy="177800"/>
        </a:xfrm>
      </xdr:grpSpPr>
      <xdr:sp macro="" textlink="">
        <xdr:nvSpPr>
          <xdr:cNvPr id="175" name="ref_deletemeasureIcon" descr="A0">
            <a:extLst>
              <a:ext uri="{FF2B5EF4-FFF2-40B4-BE49-F238E27FC236}">
                <a16:creationId xmlns:a16="http://schemas.microsoft.com/office/drawing/2014/main" id="{00000000-0008-0000-0000-0000AF000000}"/>
              </a:ext>
            </a:extLst>
          </xdr:cNvPr>
          <xdr:cNvSpPr>
            <a:spLocks noChangeAspect="1"/>
          </xdr:cNvSpPr>
        </xdr:nvSpPr>
        <xdr:spPr>
          <a:xfrm>
            <a:off x="49618900" y="889000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6" name="IconDelete0.9229546" descr="Close">
            <a:extLst>
              <a:ext uri="{FF2B5EF4-FFF2-40B4-BE49-F238E27FC236}">
                <a16:creationId xmlns:a16="http://schemas.microsoft.com/office/drawing/2014/main" id="{00000000-0008-0000-0000-0000B0000000}"/>
              </a:ext>
            </a:extLst>
          </xdr:cNvPr>
          <xdr:cNvSpPr/>
        </xdr:nvSpPr>
        <xdr:spPr>
          <a:xfrm>
            <a:off x="49636679" y="906780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501650</xdr:colOff>
      <xdr:row>4</xdr:row>
      <xdr:rowOff>127000</xdr:rowOff>
    </xdr:from>
    <xdr:to>
      <xdr:col>60</xdr:col>
      <xdr:colOff>679450</xdr:colOff>
      <xdr:row>5</xdr:row>
      <xdr:rowOff>114300</xdr:rowOff>
    </xdr:to>
    <xdr:grpSp>
      <xdr:nvGrpSpPr>
        <xdr:cNvPr id="180" name="ref_changemeasure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GrpSpPr/>
      </xdr:nvGrpSpPr>
      <xdr:grpSpPr>
        <a:xfrm>
          <a:off x="49250600" y="889000"/>
          <a:ext cx="177800" cy="177800"/>
          <a:chOff x="49250600" y="889000"/>
          <a:chExt cx="177800" cy="177800"/>
        </a:xfrm>
      </xdr:grpSpPr>
      <xdr:sp macro="" textlink="">
        <xdr:nvSpPr>
          <xdr:cNvPr id="178" name="ref_changemeasureIcon" descr="A0">
            <a:extLst>
              <a:ext uri="{FF2B5EF4-FFF2-40B4-BE49-F238E27FC236}">
                <a16:creationId xmlns:a16="http://schemas.microsoft.com/office/drawing/2014/main" id="{00000000-0008-0000-0000-0000B2000000}"/>
              </a:ext>
            </a:extLst>
          </xdr:cNvPr>
          <xdr:cNvSpPr>
            <a:spLocks noChangeAspect="1"/>
          </xdr:cNvSpPr>
        </xdr:nvSpPr>
        <xdr:spPr>
          <a:xfrm>
            <a:off x="49250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9" name="IconChange0.4064213">
            <a:extLst>
              <a:ext uri="{FF2B5EF4-FFF2-40B4-BE49-F238E27FC236}">
                <a16:creationId xmlns:a16="http://schemas.microsoft.com/office/drawing/2014/main" id="{00000000-0008-0000-0000-0000B3000000}"/>
              </a:ext>
            </a:extLst>
          </xdr:cNvPr>
          <xdr:cNvSpPr/>
        </xdr:nvSpPr>
        <xdr:spPr>
          <a:xfrm>
            <a:off x="49268379" y="906780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247650</xdr:colOff>
      <xdr:row>4</xdr:row>
      <xdr:rowOff>127000</xdr:rowOff>
    </xdr:from>
    <xdr:to>
      <xdr:col>60</xdr:col>
      <xdr:colOff>425450</xdr:colOff>
      <xdr:row>5</xdr:row>
      <xdr:rowOff>114300</xdr:rowOff>
    </xdr:to>
    <xdr:grpSp>
      <xdr:nvGrpSpPr>
        <xdr:cNvPr id="183" name="ref_addmeasure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GrpSpPr/>
      </xdr:nvGrpSpPr>
      <xdr:grpSpPr>
        <a:xfrm>
          <a:off x="48996600" y="889000"/>
          <a:ext cx="177800" cy="177800"/>
          <a:chOff x="48996600" y="889000"/>
          <a:chExt cx="177800" cy="177800"/>
        </a:xfrm>
      </xdr:grpSpPr>
      <xdr:sp macro="" textlink="">
        <xdr:nvSpPr>
          <xdr:cNvPr id="181" name="ref_addmeasureIcon" descr="A0">
            <a:extLst>
              <a:ext uri="{FF2B5EF4-FFF2-40B4-BE49-F238E27FC236}">
                <a16:creationId xmlns:a16="http://schemas.microsoft.com/office/drawing/2014/main" id="{00000000-0008-0000-0000-0000B5000000}"/>
              </a:ext>
            </a:extLst>
          </xdr:cNvPr>
          <xdr:cNvSpPr>
            <a:spLocks noChangeAspect="1"/>
          </xdr:cNvSpPr>
        </xdr:nvSpPr>
        <xdr:spPr>
          <a:xfrm>
            <a:off x="48996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82" name="IconAdd0.8262255" descr="Add">
            <a:extLst>
              <a:ext uri="{FF2B5EF4-FFF2-40B4-BE49-F238E27FC236}">
                <a16:creationId xmlns:a16="http://schemas.microsoft.com/office/drawing/2014/main" id="{00000000-0008-0000-0000-0000B6000000}"/>
              </a:ext>
            </a:extLst>
          </xdr:cNvPr>
          <xdr:cNvSpPr/>
        </xdr:nvSpPr>
        <xdr:spPr>
          <a:xfrm>
            <a:off x="49014379" y="906780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59</xdr:col>
      <xdr:colOff>3041650</xdr:colOff>
      <xdr:row>4</xdr:row>
      <xdr:rowOff>127000</xdr:rowOff>
    </xdr:from>
    <xdr:to>
      <xdr:col>60</xdr:col>
      <xdr:colOff>171450</xdr:colOff>
      <xdr:row>5</xdr:row>
      <xdr:rowOff>114300</xdr:rowOff>
    </xdr:to>
    <xdr:grpSp>
      <xdr:nvGrpSpPr>
        <xdr:cNvPr id="189" name="ref_sortmeasure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GrpSpPr/>
      </xdr:nvGrpSpPr>
      <xdr:grpSpPr>
        <a:xfrm>
          <a:off x="48742600" y="889000"/>
          <a:ext cx="177800" cy="177800"/>
          <a:chOff x="48742600" y="889000"/>
          <a:chExt cx="177800" cy="177800"/>
        </a:xfrm>
      </xdr:grpSpPr>
      <xdr:sp macro="" textlink="">
        <xdr:nvSpPr>
          <xdr:cNvPr id="184" name="ref_sortmeasureIcon" descr="A0">
            <a:extLst>
              <a:ext uri="{FF2B5EF4-FFF2-40B4-BE49-F238E27FC236}">
                <a16:creationId xmlns:a16="http://schemas.microsoft.com/office/drawing/2014/main" id="{00000000-0008-0000-0000-0000B8000000}"/>
              </a:ext>
            </a:extLst>
          </xdr:cNvPr>
          <xdr:cNvSpPr>
            <a:spLocks noChangeAspect="1"/>
          </xdr:cNvSpPr>
        </xdr:nvSpPr>
        <xdr:spPr>
          <a:xfrm>
            <a:off x="48742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85" name="IconSort0.7218951">
            <a:extLst>
              <a:ext uri="{FF2B5EF4-FFF2-40B4-BE49-F238E27FC236}">
                <a16:creationId xmlns:a16="http://schemas.microsoft.com/office/drawing/2014/main" id="{00000000-0008-0000-0000-0000B9000000}"/>
              </a:ext>
            </a:extLst>
          </xdr:cNvPr>
          <xdr:cNvGrpSpPr/>
        </xdr:nvGrpSpPr>
        <xdr:grpSpPr>
          <a:xfrm>
            <a:off x="48760379" y="906780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86" name="Freeform: Shape 27831">
              <a:extLst>
                <a:ext uri="{FF2B5EF4-FFF2-40B4-BE49-F238E27FC236}">
                  <a16:creationId xmlns:a16="http://schemas.microsoft.com/office/drawing/2014/main" id="{00000000-0008-0000-0000-0000B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7" name="Freeform: Shape 27832">
              <a:extLst>
                <a:ext uri="{FF2B5EF4-FFF2-40B4-BE49-F238E27FC236}">
                  <a16:creationId xmlns:a16="http://schemas.microsoft.com/office/drawing/2014/main" id="{00000000-0008-0000-0000-0000B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8" name="Freeform: Shape 27833">
              <a:extLst>
                <a:ext uri="{FF2B5EF4-FFF2-40B4-BE49-F238E27FC236}">
                  <a16:creationId xmlns:a16="http://schemas.microsoft.com/office/drawing/2014/main" id="{00000000-0008-0000-0000-0000B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83436</xdr:colOff>
      <xdr:row>1</xdr:row>
      <xdr:rowOff>0</xdr:rowOff>
    </xdr:from>
    <xdr:to>
      <xdr:col>2</xdr:col>
      <xdr:colOff>6616</xdr:colOff>
      <xdr:row>8</xdr:row>
      <xdr:rowOff>66674</xdr:rowOff>
    </xdr:to>
    <xdr:pic>
      <xdr:nvPicPr>
        <xdr:cNvPr id="4" name="wallpaper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6" y="190500"/>
          <a:ext cx="399430" cy="1400174"/>
        </a:xfrm>
        <a:prstGeom prst="rect">
          <a:avLst/>
        </a:prstGeom>
      </xdr:spPr>
    </xdr:pic>
    <xdr:clientData/>
  </xdr:twoCellAnchor>
  <xdr:twoCellAnchor>
    <xdr:from>
      <xdr:col>0</xdr:col>
      <xdr:colOff>133349</xdr:colOff>
      <xdr:row>10</xdr:row>
      <xdr:rowOff>19050</xdr:rowOff>
    </xdr:from>
    <xdr:to>
      <xdr:col>1</xdr:col>
      <xdr:colOff>95249</xdr:colOff>
      <xdr:row>11</xdr:row>
      <xdr:rowOff>28575</xdr:rowOff>
    </xdr:to>
    <xdr:grpSp>
      <xdr:nvGrpSpPr>
        <xdr:cNvPr id="3" name="IconMain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33349" y="1924050"/>
          <a:ext cx="200025" cy="200025"/>
          <a:chOff x="6191463" y="724112"/>
          <a:chExt cx="693569" cy="691961"/>
        </a:xfrm>
        <a:solidFill>
          <a:schemeClr val="bg1"/>
        </a:solidFill>
      </xdr:grpSpPr>
      <xdr:sp macro="" textlink="">
        <xdr:nvSpPr>
          <xdr:cNvPr id="5" name="Freeform: Shape 2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6216979" y="765099"/>
            <a:ext cx="642938" cy="650974"/>
          </a:xfrm>
          <a:custGeom>
            <a:avLst/>
            <a:gdLst/>
            <a:ahLst/>
            <a:cxnLst/>
            <a:rect l="0" t="0" r="0" b="0"/>
            <a:pathLst>
              <a:path w="642937" h="650974">
                <a:moveTo>
                  <a:pt x="567857" y="173053"/>
                </a:moveTo>
                <a:cubicBezTo>
                  <a:pt x="672334" y="55717"/>
                  <a:pt x="634562" y="14730"/>
                  <a:pt x="634562" y="14730"/>
                </a:cubicBezTo>
                <a:cubicBezTo>
                  <a:pt x="621703" y="1871"/>
                  <a:pt x="601611" y="1871"/>
                  <a:pt x="588752" y="14730"/>
                </a:cubicBezTo>
                <a:lnTo>
                  <a:pt x="284161" y="319321"/>
                </a:lnTo>
                <a:lnTo>
                  <a:pt x="18949" y="566852"/>
                </a:lnTo>
                <a:cubicBezTo>
                  <a:pt x="465" y="585337"/>
                  <a:pt x="465" y="615876"/>
                  <a:pt x="18949" y="635165"/>
                </a:cubicBezTo>
                <a:cubicBezTo>
                  <a:pt x="37434" y="653649"/>
                  <a:pt x="67973" y="653649"/>
                  <a:pt x="87261" y="635165"/>
                </a:cubicBezTo>
                <a:lnTo>
                  <a:pt x="329166" y="369953"/>
                </a:lnTo>
                <a:cubicBezTo>
                  <a:pt x="341222" y="375578"/>
                  <a:pt x="373368" y="391652"/>
                  <a:pt x="383012" y="381204"/>
                </a:cubicBezTo>
                <a:lnTo>
                  <a:pt x="567857" y="173053"/>
                </a:ln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6" name="Freeform: Shape 3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587673" y="1126751"/>
            <a:ext cx="297359" cy="289322"/>
          </a:xfrm>
          <a:custGeom>
            <a:avLst/>
            <a:gdLst/>
            <a:ahLst/>
            <a:cxnLst/>
            <a:rect l="0" t="0" r="0" b="0"/>
            <a:pathLst>
              <a:path w="297358" h="289321">
                <a:moveTo>
                  <a:pt x="279138" y="205200"/>
                </a:moveTo>
                <a:lnTo>
                  <a:pt x="67772" y="5086"/>
                </a:lnTo>
                <a:lnTo>
                  <a:pt x="35625" y="41251"/>
                </a:lnTo>
                <a:cubicBezTo>
                  <a:pt x="30000" y="46877"/>
                  <a:pt x="20355" y="54110"/>
                  <a:pt x="5086" y="54913"/>
                </a:cubicBezTo>
                <a:lnTo>
                  <a:pt x="211629" y="273512"/>
                </a:lnTo>
                <a:cubicBezTo>
                  <a:pt x="230918" y="291997"/>
                  <a:pt x="261457" y="291997"/>
                  <a:pt x="279942" y="273512"/>
                </a:cubicBezTo>
                <a:cubicBezTo>
                  <a:pt x="297622" y="254224"/>
                  <a:pt x="297622" y="223684"/>
                  <a:pt x="279138" y="205200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7" name="Freeform: 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6191463" y="724112"/>
            <a:ext cx="345579" cy="345579"/>
          </a:xfrm>
          <a:custGeom>
            <a:avLst/>
            <a:gdLst/>
            <a:ahLst/>
            <a:cxnLst/>
            <a:rect l="0" t="0" r="0" b="0"/>
            <a:pathLst>
              <a:path w="345578" h="345578">
                <a:moveTo>
                  <a:pt x="250206" y="344235"/>
                </a:moveTo>
                <a:cubicBezTo>
                  <a:pt x="250206" y="344235"/>
                  <a:pt x="264672" y="341021"/>
                  <a:pt x="280745" y="343432"/>
                </a:cubicBezTo>
                <a:lnTo>
                  <a:pt x="287175" y="337002"/>
                </a:lnTo>
                <a:lnTo>
                  <a:pt x="342628" y="281549"/>
                </a:lnTo>
                <a:cubicBezTo>
                  <a:pt x="340217" y="266279"/>
                  <a:pt x="343432" y="251009"/>
                  <a:pt x="343432" y="251009"/>
                </a:cubicBezTo>
                <a:cubicBezTo>
                  <a:pt x="349057" y="216451"/>
                  <a:pt x="335395" y="176268"/>
                  <a:pt x="294408" y="135281"/>
                </a:cubicBezTo>
                <a:cubicBezTo>
                  <a:pt x="226899" y="67772"/>
                  <a:pt x="130459" y="5086"/>
                  <a:pt x="130459" y="5086"/>
                </a:cubicBezTo>
                <a:lnTo>
                  <a:pt x="115992" y="19552"/>
                </a:lnTo>
                <a:lnTo>
                  <a:pt x="278334" y="181894"/>
                </a:lnTo>
                <a:cubicBezTo>
                  <a:pt x="283156" y="186716"/>
                  <a:pt x="283156" y="193949"/>
                  <a:pt x="278334" y="198771"/>
                </a:cubicBezTo>
                <a:cubicBezTo>
                  <a:pt x="273512" y="203593"/>
                  <a:pt x="266279" y="203593"/>
                  <a:pt x="261457" y="198771"/>
                </a:cubicBezTo>
                <a:lnTo>
                  <a:pt x="99115" y="36429"/>
                </a:lnTo>
                <a:lnTo>
                  <a:pt x="76613" y="58932"/>
                </a:lnTo>
                <a:lnTo>
                  <a:pt x="238954" y="221273"/>
                </a:lnTo>
                <a:cubicBezTo>
                  <a:pt x="243776" y="226096"/>
                  <a:pt x="243776" y="233329"/>
                  <a:pt x="238954" y="238151"/>
                </a:cubicBezTo>
                <a:cubicBezTo>
                  <a:pt x="234132" y="242973"/>
                  <a:pt x="226899" y="242973"/>
                  <a:pt x="222077" y="238151"/>
                </a:cubicBezTo>
                <a:lnTo>
                  <a:pt x="59735" y="75809"/>
                </a:lnTo>
                <a:lnTo>
                  <a:pt x="37233" y="98312"/>
                </a:lnTo>
                <a:lnTo>
                  <a:pt x="199574" y="260653"/>
                </a:lnTo>
                <a:cubicBezTo>
                  <a:pt x="204396" y="265475"/>
                  <a:pt x="204396" y="272708"/>
                  <a:pt x="199574" y="277531"/>
                </a:cubicBezTo>
                <a:cubicBezTo>
                  <a:pt x="194752" y="282353"/>
                  <a:pt x="187519" y="282353"/>
                  <a:pt x="182697" y="277531"/>
                </a:cubicBezTo>
                <a:lnTo>
                  <a:pt x="19552" y="115992"/>
                </a:lnTo>
                <a:lnTo>
                  <a:pt x="5086" y="130459"/>
                </a:lnTo>
                <a:cubicBezTo>
                  <a:pt x="5086" y="130459"/>
                  <a:pt x="73398" y="233329"/>
                  <a:pt x="134477" y="295211"/>
                </a:cubicBezTo>
                <a:cubicBezTo>
                  <a:pt x="175464" y="336199"/>
                  <a:pt x="215648" y="349861"/>
                  <a:pt x="250206" y="344235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</xdr:grpSp>
    <xdr:clientData/>
  </xdr:twoCellAnchor>
  <xdr:twoCellAnchor>
    <xdr:from>
      <xdr:col>7</xdr:col>
      <xdr:colOff>93177</xdr:colOff>
      <xdr:row>9</xdr:row>
      <xdr:rowOff>186630</xdr:rowOff>
    </xdr:from>
    <xdr:to>
      <xdr:col>8</xdr:col>
      <xdr:colOff>142875</xdr:colOff>
      <xdr:row>11</xdr:row>
      <xdr:rowOff>95250</xdr:rowOff>
    </xdr:to>
    <xdr:grpSp>
      <xdr:nvGrpSpPr>
        <xdr:cNvPr id="8" name="IconSav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1760052" y="1901130"/>
          <a:ext cx="287823" cy="289620"/>
          <a:chOff x="376389" y="3221837"/>
          <a:chExt cx="272150" cy="244008"/>
        </a:xfrm>
      </xdr:grpSpPr>
      <xdr:sp macro="" textlink="">
        <xdr:nvSpPr>
          <xdr:cNvPr id="9" name="Freeform: Shape 46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456433" y="3258116"/>
            <a:ext cx="24012" cy="53578"/>
          </a:xfrm>
          <a:custGeom>
            <a:avLst/>
            <a:gdLst>
              <a:gd name="connsiteX0" fmla="*/ 1251 w 24013"/>
              <a:gd name="connsiteY0" fmla="*/ 1116 h 53578"/>
              <a:gd name="connsiteX1" fmla="*/ 25264 w 24013"/>
              <a:gd name="connsiteY1" fmla="*/ 1116 h 53578"/>
              <a:gd name="connsiteX2" fmla="*/ 25264 w 24013"/>
              <a:gd name="connsiteY2" fmla="*/ 54694 h 53578"/>
              <a:gd name="connsiteX3" fmla="*/ 1251 w 24013"/>
              <a:gd name="connsiteY3" fmla="*/ 54694 h 5357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53578">
                <a:moveTo>
                  <a:pt x="1251" y="1116"/>
                </a:moveTo>
                <a:lnTo>
                  <a:pt x="25264" y="1116"/>
                </a:lnTo>
                <a:lnTo>
                  <a:pt x="25264" y="54694"/>
                </a:lnTo>
                <a:lnTo>
                  <a:pt x="1251" y="54694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0" name="Freeform: Shape 47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376389" y="3221837"/>
            <a:ext cx="272150" cy="244008"/>
          </a:xfrm>
          <a:custGeom>
            <a:avLst/>
            <a:gdLst>
              <a:gd name="connsiteX0" fmla="*/ 209366 w 272150"/>
              <a:gd name="connsiteY0" fmla="*/ 104701 h 242887"/>
              <a:gd name="connsiteX1" fmla="*/ 65286 w 272150"/>
              <a:gd name="connsiteY1" fmla="*/ 104701 h 242887"/>
              <a:gd name="connsiteX2" fmla="*/ 65286 w 272150"/>
              <a:gd name="connsiteY2" fmla="*/ 22547 h 242887"/>
              <a:gd name="connsiteX3" fmla="*/ 209366 w 272150"/>
              <a:gd name="connsiteY3" fmla="*/ 22547 h 242887"/>
              <a:gd name="connsiteX4" fmla="*/ 209366 w 272150"/>
              <a:gd name="connsiteY4" fmla="*/ 104701 h 242887"/>
              <a:gd name="connsiteX5" fmla="*/ 137326 w 272150"/>
              <a:gd name="connsiteY5" fmla="*/ 197569 h 242887"/>
              <a:gd name="connsiteX6" fmla="*/ 97304 w 272150"/>
              <a:gd name="connsiteY6" fmla="*/ 161851 h 242887"/>
              <a:gd name="connsiteX7" fmla="*/ 137326 w 272150"/>
              <a:gd name="connsiteY7" fmla="*/ 126132 h 242887"/>
              <a:gd name="connsiteX8" fmla="*/ 177348 w 272150"/>
              <a:gd name="connsiteY8" fmla="*/ 161851 h 242887"/>
              <a:gd name="connsiteX9" fmla="*/ 137326 w 272150"/>
              <a:gd name="connsiteY9" fmla="*/ 197569 h 242887"/>
              <a:gd name="connsiteX10" fmla="*/ 257392 w 272150"/>
              <a:gd name="connsiteY10" fmla="*/ 1116 h 242887"/>
              <a:gd name="connsiteX11" fmla="*/ 209366 w 272150"/>
              <a:gd name="connsiteY11" fmla="*/ 1116 h 242887"/>
              <a:gd name="connsiteX12" fmla="*/ 65286 w 272150"/>
              <a:gd name="connsiteY12" fmla="*/ 1116 h 242887"/>
              <a:gd name="connsiteX13" fmla="*/ 41273 w 272150"/>
              <a:gd name="connsiteY13" fmla="*/ 1116 h 242887"/>
              <a:gd name="connsiteX14" fmla="*/ 1251 w 272150"/>
              <a:gd name="connsiteY14" fmla="*/ 36835 h 242887"/>
              <a:gd name="connsiteX15" fmla="*/ 1251 w 272150"/>
              <a:gd name="connsiteY15" fmla="*/ 229716 h 242887"/>
              <a:gd name="connsiteX16" fmla="*/ 17260 w 272150"/>
              <a:gd name="connsiteY16" fmla="*/ 244004 h 242887"/>
              <a:gd name="connsiteX17" fmla="*/ 257392 w 272150"/>
              <a:gd name="connsiteY17" fmla="*/ 244004 h 242887"/>
              <a:gd name="connsiteX18" fmla="*/ 273401 w 272150"/>
              <a:gd name="connsiteY18" fmla="*/ 229716 h 242887"/>
              <a:gd name="connsiteX19" fmla="*/ 273401 w 272150"/>
              <a:gd name="connsiteY19" fmla="*/ 15404 h 242887"/>
              <a:gd name="connsiteX20" fmla="*/ 257392 w 272150"/>
              <a:gd name="connsiteY20" fmla="*/ 1116 h 2428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272150" h="242887">
                <a:moveTo>
                  <a:pt x="209366" y="104701"/>
                </a:moveTo>
                <a:lnTo>
                  <a:pt x="65286" y="104701"/>
                </a:lnTo>
                <a:lnTo>
                  <a:pt x="65286" y="22547"/>
                </a:lnTo>
                <a:lnTo>
                  <a:pt x="209366" y="22547"/>
                </a:lnTo>
                <a:lnTo>
                  <a:pt x="209366" y="104701"/>
                </a:lnTo>
                <a:close/>
                <a:moveTo>
                  <a:pt x="137326" y="197569"/>
                </a:moveTo>
                <a:cubicBezTo>
                  <a:pt x="115314" y="197569"/>
                  <a:pt x="97304" y="181496"/>
                  <a:pt x="97304" y="161851"/>
                </a:cubicBezTo>
                <a:cubicBezTo>
                  <a:pt x="97304" y="142205"/>
                  <a:pt x="115314" y="126132"/>
                  <a:pt x="137326" y="126132"/>
                </a:cubicBezTo>
                <a:cubicBezTo>
                  <a:pt x="159338" y="126132"/>
                  <a:pt x="177348" y="142205"/>
                  <a:pt x="177348" y="161851"/>
                </a:cubicBezTo>
                <a:cubicBezTo>
                  <a:pt x="177348" y="181496"/>
                  <a:pt x="159338" y="197569"/>
                  <a:pt x="137326" y="197569"/>
                </a:cubicBezTo>
                <a:close/>
                <a:moveTo>
                  <a:pt x="257392" y="1116"/>
                </a:moveTo>
                <a:lnTo>
                  <a:pt x="209366" y="1116"/>
                </a:lnTo>
                <a:lnTo>
                  <a:pt x="65286" y="1116"/>
                </a:lnTo>
                <a:lnTo>
                  <a:pt x="41273" y="1116"/>
                </a:lnTo>
                <a:lnTo>
                  <a:pt x="1251" y="36835"/>
                </a:lnTo>
                <a:lnTo>
                  <a:pt x="1251" y="229716"/>
                </a:lnTo>
                <a:cubicBezTo>
                  <a:pt x="1251" y="237574"/>
                  <a:pt x="8455" y="244004"/>
                  <a:pt x="17260" y="244004"/>
                </a:cubicBezTo>
                <a:lnTo>
                  <a:pt x="257392" y="244004"/>
                </a:lnTo>
                <a:cubicBezTo>
                  <a:pt x="266197" y="244004"/>
                  <a:pt x="273401" y="237574"/>
                  <a:pt x="273401" y="229716"/>
                </a:cubicBezTo>
                <a:lnTo>
                  <a:pt x="273401" y="15404"/>
                </a:lnTo>
                <a:cubicBezTo>
                  <a:pt x="273401" y="7546"/>
                  <a:pt x="266197" y="1116"/>
                  <a:pt x="257392" y="1116"/>
                </a:cubicBez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1" name="Freeform: Shape 48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500457" y="3372416"/>
            <a:ext cx="24014" cy="21431"/>
          </a:xfrm>
          <a:custGeom>
            <a:avLst/>
            <a:gdLst>
              <a:gd name="connsiteX0" fmla="*/ 1251 w 24013"/>
              <a:gd name="connsiteY0" fmla="*/ 1116 h 21431"/>
              <a:gd name="connsiteX1" fmla="*/ 25264 w 24013"/>
              <a:gd name="connsiteY1" fmla="*/ 1116 h 21431"/>
              <a:gd name="connsiteX2" fmla="*/ 25264 w 24013"/>
              <a:gd name="connsiteY2" fmla="*/ 22547 h 21431"/>
              <a:gd name="connsiteX3" fmla="*/ 1251 w 24013"/>
              <a:gd name="connsiteY3" fmla="*/ 22547 h 214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21431">
                <a:moveTo>
                  <a:pt x="1251" y="1116"/>
                </a:moveTo>
                <a:lnTo>
                  <a:pt x="25264" y="1116"/>
                </a:lnTo>
                <a:lnTo>
                  <a:pt x="25264" y="22547"/>
                </a:lnTo>
                <a:lnTo>
                  <a:pt x="1251" y="22547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1</xdr:col>
      <xdr:colOff>173956</xdr:colOff>
      <xdr:row>9</xdr:row>
      <xdr:rowOff>178265</xdr:rowOff>
    </xdr:from>
    <xdr:to>
      <xdr:col>2</xdr:col>
      <xdr:colOff>142874</xdr:colOff>
      <xdr:row>11</xdr:row>
      <xdr:rowOff>28575</xdr:rowOff>
    </xdr:to>
    <xdr:sp macro="" textlink="">
      <xdr:nvSpPr>
        <xdr:cNvPr id="12" name="IconAdd" descr="Add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412081" y="1892765"/>
          <a:ext cx="207043" cy="231310"/>
        </a:xfrm>
        <a:custGeom>
          <a:avLst/>
          <a:gdLst>
            <a:gd name="connsiteX0" fmla="*/ 460120 w 457573"/>
            <a:gd name="connsiteY0" fmla="*/ 197016 h 457574"/>
            <a:gd name="connsiteX1" fmla="*/ 265652 w 457573"/>
            <a:gd name="connsiteY1" fmla="*/ 197016 h 457574"/>
            <a:gd name="connsiteX2" fmla="*/ 265652 w 457573"/>
            <a:gd name="connsiteY2" fmla="*/ 2547 h 457574"/>
            <a:gd name="connsiteX3" fmla="*/ 197016 w 457573"/>
            <a:gd name="connsiteY3" fmla="*/ 2547 h 457574"/>
            <a:gd name="connsiteX4" fmla="*/ 197016 w 457573"/>
            <a:gd name="connsiteY4" fmla="*/ 197016 h 457574"/>
            <a:gd name="connsiteX5" fmla="*/ 2547 w 457573"/>
            <a:gd name="connsiteY5" fmla="*/ 197016 h 457574"/>
            <a:gd name="connsiteX6" fmla="*/ 2547 w 457573"/>
            <a:gd name="connsiteY6" fmla="*/ 265652 h 457574"/>
            <a:gd name="connsiteX7" fmla="*/ 197016 w 457573"/>
            <a:gd name="connsiteY7" fmla="*/ 265652 h 457574"/>
            <a:gd name="connsiteX8" fmla="*/ 197016 w 457573"/>
            <a:gd name="connsiteY8" fmla="*/ 460121 h 457574"/>
            <a:gd name="connsiteX9" fmla="*/ 265652 w 457573"/>
            <a:gd name="connsiteY9" fmla="*/ 460121 h 457574"/>
            <a:gd name="connsiteX10" fmla="*/ 265652 w 457573"/>
            <a:gd name="connsiteY10" fmla="*/ 265652 h 457574"/>
            <a:gd name="connsiteX11" fmla="*/ 460120 w 457573"/>
            <a:gd name="connsiteY11" fmla="*/ 265652 h 4575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457573" h="457574">
              <a:moveTo>
                <a:pt x="460120" y="197016"/>
              </a:moveTo>
              <a:lnTo>
                <a:pt x="265652" y="197016"/>
              </a:lnTo>
              <a:lnTo>
                <a:pt x="265652" y="2547"/>
              </a:lnTo>
              <a:lnTo>
                <a:pt x="197016" y="2547"/>
              </a:lnTo>
              <a:lnTo>
                <a:pt x="197016" y="197016"/>
              </a:lnTo>
              <a:lnTo>
                <a:pt x="2547" y="197016"/>
              </a:lnTo>
              <a:lnTo>
                <a:pt x="2547" y="265652"/>
              </a:lnTo>
              <a:lnTo>
                <a:pt x="197016" y="265652"/>
              </a:lnTo>
              <a:lnTo>
                <a:pt x="197016" y="460121"/>
              </a:lnTo>
              <a:lnTo>
                <a:pt x="265652" y="460121"/>
              </a:lnTo>
              <a:lnTo>
                <a:pt x="265652" y="265652"/>
              </a:lnTo>
              <a:lnTo>
                <a:pt x="460120" y="265652"/>
              </a:lnTo>
              <a:close/>
            </a:path>
          </a:pathLst>
        </a:custGeom>
        <a:solidFill>
          <a:sysClr val="window" lastClr="FFFFFF"/>
        </a:solidFill>
        <a:ln w="565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>
    <xdr:from>
      <xdr:col>5</xdr:col>
      <xdr:colOff>198516</xdr:colOff>
      <xdr:row>10</xdr:row>
      <xdr:rowOff>5323</xdr:rowOff>
    </xdr:from>
    <xdr:to>
      <xdr:col>6</xdr:col>
      <xdr:colOff>209550</xdr:colOff>
      <xdr:row>11</xdr:row>
      <xdr:rowOff>66675</xdr:rowOff>
    </xdr:to>
    <xdr:sp macro="" textlink="">
      <xdr:nvSpPr>
        <xdr:cNvPr id="13" name="IconDelete" descr="Close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1389141" y="1910323"/>
          <a:ext cx="249159" cy="251852"/>
        </a:xfrm>
        <a:custGeom>
          <a:avLst/>
          <a:gdLst>
            <a:gd name="connsiteX0" fmla="*/ 681514 w 685800"/>
            <a:gd name="connsiteY0" fmla="*/ 88106 h 685800"/>
            <a:gd name="connsiteX1" fmla="*/ 600551 w 685800"/>
            <a:gd name="connsiteY1" fmla="*/ 7144 h 685800"/>
            <a:gd name="connsiteX2" fmla="*/ 344329 w 685800"/>
            <a:gd name="connsiteY2" fmla="*/ 263366 h 685800"/>
            <a:gd name="connsiteX3" fmla="*/ 88106 w 685800"/>
            <a:gd name="connsiteY3" fmla="*/ 7144 h 685800"/>
            <a:gd name="connsiteX4" fmla="*/ 7144 w 685800"/>
            <a:gd name="connsiteY4" fmla="*/ 88106 h 685800"/>
            <a:gd name="connsiteX5" fmla="*/ 263366 w 685800"/>
            <a:gd name="connsiteY5" fmla="*/ 344329 h 685800"/>
            <a:gd name="connsiteX6" fmla="*/ 7144 w 685800"/>
            <a:gd name="connsiteY6" fmla="*/ 600551 h 685800"/>
            <a:gd name="connsiteX7" fmla="*/ 88106 w 685800"/>
            <a:gd name="connsiteY7" fmla="*/ 681514 h 685800"/>
            <a:gd name="connsiteX8" fmla="*/ 344329 w 685800"/>
            <a:gd name="connsiteY8" fmla="*/ 425291 h 685800"/>
            <a:gd name="connsiteX9" fmla="*/ 600551 w 685800"/>
            <a:gd name="connsiteY9" fmla="*/ 681514 h 685800"/>
            <a:gd name="connsiteX10" fmla="*/ 681514 w 685800"/>
            <a:gd name="connsiteY10" fmla="*/ 600551 h 685800"/>
            <a:gd name="connsiteX11" fmla="*/ 425291 w 685800"/>
            <a:gd name="connsiteY11" fmla="*/ 344329 h 685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685800" h="685800">
              <a:moveTo>
                <a:pt x="681514" y="88106"/>
              </a:moveTo>
              <a:lnTo>
                <a:pt x="600551" y="7144"/>
              </a:lnTo>
              <a:lnTo>
                <a:pt x="344329" y="263366"/>
              </a:lnTo>
              <a:lnTo>
                <a:pt x="88106" y="7144"/>
              </a:lnTo>
              <a:lnTo>
                <a:pt x="7144" y="88106"/>
              </a:lnTo>
              <a:lnTo>
                <a:pt x="263366" y="344329"/>
              </a:lnTo>
              <a:lnTo>
                <a:pt x="7144" y="600551"/>
              </a:lnTo>
              <a:lnTo>
                <a:pt x="88106" y="681514"/>
              </a:lnTo>
              <a:lnTo>
                <a:pt x="344329" y="425291"/>
              </a:lnTo>
              <a:lnTo>
                <a:pt x="600551" y="681514"/>
              </a:lnTo>
              <a:lnTo>
                <a:pt x="681514" y="600551"/>
              </a:lnTo>
              <a:lnTo>
                <a:pt x="425291" y="344329"/>
              </a:lnTo>
              <a:close/>
            </a:path>
          </a:pathLst>
        </a:custGeom>
        <a:solidFill>
          <a:srgbClr val="FF0000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oneCellAnchor>
    <xdr:from>
      <xdr:col>9</xdr:col>
      <xdr:colOff>6536</xdr:colOff>
      <xdr:row>10</xdr:row>
      <xdr:rowOff>19515</xdr:rowOff>
    </xdr:from>
    <xdr:ext cx="240928" cy="236126"/>
    <xdr:pic>
      <xdr:nvPicPr>
        <xdr:cNvPr id="14" name="Graphic 27822" descr="Filter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49661" y="1924515"/>
          <a:ext cx="240928" cy="236126"/>
        </a:xfrm>
        <a:prstGeom prst="rect">
          <a:avLst/>
        </a:prstGeom>
      </xdr:spPr>
    </xdr:pic>
    <xdr:clientData/>
  </xdr:oneCellAnchor>
  <xdr:twoCellAnchor>
    <xdr:from>
      <xdr:col>2</xdr:col>
      <xdr:colOff>219073</xdr:colOff>
      <xdr:row>10</xdr:row>
      <xdr:rowOff>11113</xdr:rowOff>
    </xdr:from>
    <xdr:to>
      <xdr:col>4</xdr:col>
      <xdr:colOff>47625</xdr:colOff>
      <xdr:row>11</xdr:row>
      <xdr:rowOff>47625</xdr:rowOff>
    </xdr:to>
    <xdr:grpSp>
      <xdr:nvGrpSpPr>
        <xdr:cNvPr id="15" name="IconSort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pSpPr/>
      </xdr:nvGrpSpPr>
      <xdr:grpSpPr>
        <a:xfrm>
          <a:off x="695323" y="1916113"/>
          <a:ext cx="304802" cy="227012"/>
          <a:chOff x="3047999" y="1468437"/>
          <a:chExt cx="1836736" cy="1836737"/>
        </a:xfrm>
        <a:solidFill>
          <a:schemeClr val="bg1"/>
        </a:solidFill>
      </xdr:grpSpPr>
      <xdr:sp macro="" textlink="">
        <xdr:nvSpPr>
          <xdr:cNvPr id="16" name="Freeform: Shape 27831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3128351" y="1465746"/>
            <a:ext cx="724650" cy="1840324"/>
          </a:xfrm>
          <a:custGeom>
            <a:avLst/>
            <a:gdLst>
              <a:gd name="connsiteX0" fmla="*/ 691766 w 724649"/>
              <a:gd name="connsiteY0" fmla="*/ 1444784 h 1840324"/>
              <a:gd name="connsiteX1" fmla="*/ 495113 w 724649"/>
              <a:gd name="connsiteY1" fmla="*/ 1444784 h 1840324"/>
              <a:gd name="connsiteX2" fmla="*/ 495113 w 724649"/>
              <a:gd name="connsiteY2" fmla="*/ 35465 h 1840324"/>
              <a:gd name="connsiteX3" fmla="*/ 485901 w 724649"/>
              <a:gd name="connsiteY3" fmla="*/ 11907 h 1840324"/>
              <a:gd name="connsiteX4" fmla="*/ 462342 w 724649"/>
              <a:gd name="connsiteY4" fmla="*/ 2691 h 1840324"/>
              <a:gd name="connsiteX5" fmla="*/ 265690 w 724649"/>
              <a:gd name="connsiteY5" fmla="*/ 2691 h 1840324"/>
              <a:gd name="connsiteX6" fmla="*/ 242131 w 724649"/>
              <a:gd name="connsiteY6" fmla="*/ 11903 h 1840324"/>
              <a:gd name="connsiteX7" fmla="*/ 232919 w 724649"/>
              <a:gd name="connsiteY7" fmla="*/ 35461 h 1840324"/>
              <a:gd name="connsiteX8" fmla="*/ 232919 w 724649"/>
              <a:gd name="connsiteY8" fmla="*/ 1444780 h 1840324"/>
              <a:gd name="connsiteX9" fmla="*/ 36263 w 724649"/>
              <a:gd name="connsiteY9" fmla="*/ 1444780 h 1840324"/>
              <a:gd name="connsiteX10" fmla="*/ 5544 w 724649"/>
              <a:gd name="connsiteY10" fmla="*/ 1465257 h 1840324"/>
              <a:gd name="connsiteX11" fmla="*/ 12708 w 724649"/>
              <a:gd name="connsiteY11" fmla="*/ 1501116 h 1840324"/>
              <a:gd name="connsiteX12" fmla="*/ 340454 w 724649"/>
              <a:gd name="connsiteY12" fmla="*/ 1828877 h 1840324"/>
              <a:gd name="connsiteX13" fmla="*/ 364012 w 724649"/>
              <a:gd name="connsiteY13" fmla="*/ 1838068 h 1840324"/>
              <a:gd name="connsiteX14" fmla="*/ 387571 w 724649"/>
              <a:gd name="connsiteY14" fmla="*/ 1828877 h 1840324"/>
              <a:gd name="connsiteX15" fmla="*/ 714294 w 724649"/>
              <a:gd name="connsiteY15" fmla="*/ 1502146 h 1840324"/>
              <a:gd name="connsiteX16" fmla="*/ 724540 w 724649"/>
              <a:gd name="connsiteY16" fmla="*/ 1477594 h 1840324"/>
              <a:gd name="connsiteX17" fmla="*/ 715328 w 724649"/>
              <a:gd name="connsiteY17" fmla="*/ 1453975 h 1840324"/>
              <a:gd name="connsiteX18" fmla="*/ 691766 w 724649"/>
              <a:gd name="connsiteY18" fmla="*/ 1444784 h 18403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4649" h="1840324">
                <a:moveTo>
                  <a:pt x="691766" y="1444784"/>
                </a:moveTo>
                <a:lnTo>
                  <a:pt x="495113" y="1444784"/>
                </a:lnTo>
                <a:lnTo>
                  <a:pt x="495113" y="35465"/>
                </a:lnTo>
                <a:cubicBezTo>
                  <a:pt x="495113" y="25912"/>
                  <a:pt x="492049" y="18045"/>
                  <a:pt x="485901" y="11907"/>
                </a:cubicBezTo>
                <a:cubicBezTo>
                  <a:pt x="479755" y="5772"/>
                  <a:pt x="471910" y="2691"/>
                  <a:pt x="462342" y="2691"/>
                </a:cubicBezTo>
                <a:lnTo>
                  <a:pt x="265690" y="2691"/>
                </a:lnTo>
                <a:cubicBezTo>
                  <a:pt x="256136" y="2691"/>
                  <a:pt x="248269" y="5758"/>
                  <a:pt x="242131" y="11903"/>
                </a:cubicBezTo>
                <a:cubicBezTo>
                  <a:pt x="236001" y="18055"/>
                  <a:pt x="232919" y="25912"/>
                  <a:pt x="232919" y="35461"/>
                </a:cubicBezTo>
                <a:lnTo>
                  <a:pt x="232919" y="1444780"/>
                </a:lnTo>
                <a:lnTo>
                  <a:pt x="36263" y="1444780"/>
                </a:lnTo>
                <a:cubicBezTo>
                  <a:pt x="21253" y="1444780"/>
                  <a:pt x="11011" y="1451603"/>
                  <a:pt x="5544" y="1465257"/>
                </a:cubicBezTo>
                <a:cubicBezTo>
                  <a:pt x="73" y="1478247"/>
                  <a:pt x="2473" y="1490189"/>
                  <a:pt x="12708" y="1501116"/>
                </a:cubicBezTo>
                <a:lnTo>
                  <a:pt x="340454" y="1828877"/>
                </a:lnTo>
                <a:cubicBezTo>
                  <a:pt x="347973" y="1835001"/>
                  <a:pt x="355812" y="1838068"/>
                  <a:pt x="364012" y="1838068"/>
                </a:cubicBezTo>
                <a:cubicBezTo>
                  <a:pt x="372888" y="1838068"/>
                  <a:pt x="380744" y="1835001"/>
                  <a:pt x="387571" y="1828877"/>
                </a:cubicBezTo>
                <a:lnTo>
                  <a:pt x="714294" y="1502146"/>
                </a:lnTo>
                <a:cubicBezTo>
                  <a:pt x="721132" y="1493970"/>
                  <a:pt x="724540" y="1485748"/>
                  <a:pt x="724540" y="1477594"/>
                </a:cubicBezTo>
                <a:cubicBezTo>
                  <a:pt x="724540" y="1467994"/>
                  <a:pt x="721476" y="1460163"/>
                  <a:pt x="715328" y="1453975"/>
                </a:cubicBezTo>
                <a:cubicBezTo>
                  <a:pt x="709179" y="1447855"/>
                  <a:pt x="701337" y="1444784"/>
                  <a:pt x="691766" y="1444784"/>
                </a:cubicBez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7" name="Freeform: Shape 27832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4017200" y="2514520"/>
            <a:ext cx="785635" cy="789223"/>
          </a:xfrm>
          <a:custGeom>
            <a:avLst/>
            <a:gdLst>
              <a:gd name="connsiteX0" fmla="*/ 711394 w 785635"/>
              <a:gd name="connsiteY0" fmla="*/ 680741 h 789222"/>
              <a:gd name="connsiteX1" fmla="*/ 475833 w 785635"/>
              <a:gd name="connsiteY1" fmla="*/ 2691 h 789222"/>
              <a:gd name="connsiteX2" fmla="*/ 309917 w 785635"/>
              <a:gd name="connsiteY2" fmla="*/ 2691 h 789222"/>
              <a:gd name="connsiteX3" fmla="*/ 74366 w 785635"/>
              <a:gd name="connsiteY3" fmla="*/ 680751 h 789222"/>
              <a:gd name="connsiteX4" fmla="*/ 2691 w 785635"/>
              <a:gd name="connsiteY4" fmla="*/ 680751 h 789222"/>
              <a:gd name="connsiteX5" fmla="*/ 2691 w 785635"/>
              <a:gd name="connsiteY5" fmla="*/ 789316 h 789222"/>
              <a:gd name="connsiteX6" fmla="*/ 296618 w 785635"/>
              <a:gd name="connsiteY6" fmla="*/ 789316 h 789222"/>
              <a:gd name="connsiteX7" fmla="*/ 296618 w 785635"/>
              <a:gd name="connsiteY7" fmla="*/ 680741 h 789222"/>
              <a:gd name="connsiteX8" fmla="*/ 219806 w 785635"/>
              <a:gd name="connsiteY8" fmla="*/ 680741 h 789222"/>
              <a:gd name="connsiteX9" fmla="*/ 267941 w 785635"/>
              <a:gd name="connsiteY9" fmla="*/ 533264 h 789222"/>
              <a:gd name="connsiteX10" fmla="*/ 516837 w 785635"/>
              <a:gd name="connsiteY10" fmla="*/ 533264 h 789222"/>
              <a:gd name="connsiteX11" fmla="*/ 564961 w 785635"/>
              <a:gd name="connsiteY11" fmla="*/ 680741 h 789222"/>
              <a:gd name="connsiteX12" fmla="*/ 488170 w 785635"/>
              <a:gd name="connsiteY12" fmla="*/ 680741 h 789222"/>
              <a:gd name="connsiteX13" fmla="*/ 488170 w 785635"/>
              <a:gd name="connsiteY13" fmla="*/ 789316 h 789222"/>
              <a:gd name="connsiteX14" fmla="*/ 783153 w 785635"/>
              <a:gd name="connsiteY14" fmla="*/ 789316 h 789222"/>
              <a:gd name="connsiteX15" fmla="*/ 783153 w 785635"/>
              <a:gd name="connsiteY15" fmla="*/ 680741 h 789222"/>
              <a:gd name="connsiteX16" fmla="*/ 711394 w 785635"/>
              <a:gd name="connsiteY16" fmla="*/ 680741 h 789222"/>
              <a:gd name="connsiteX17" fmla="*/ 301727 w 785635"/>
              <a:gd name="connsiteY17" fmla="*/ 420602 h 789222"/>
              <a:gd name="connsiteX18" fmla="*/ 376491 w 785635"/>
              <a:gd name="connsiteY18" fmla="*/ 197316 h 789222"/>
              <a:gd name="connsiteX19" fmla="*/ 384179 w 785635"/>
              <a:gd name="connsiteY19" fmla="*/ 167620 h 789222"/>
              <a:gd name="connsiteX20" fmla="*/ 387752 w 785635"/>
              <a:gd name="connsiteY20" fmla="*/ 149192 h 789222"/>
              <a:gd name="connsiteX21" fmla="*/ 390819 w 785635"/>
              <a:gd name="connsiteY21" fmla="*/ 128690 h 789222"/>
              <a:gd name="connsiteX22" fmla="*/ 394920 w 785635"/>
              <a:gd name="connsiteY22" fmla="*/ 128690 h 789222"/>
              <a:gd name="connsiteX23" fmla="*/ 396936 w 785635"/>
              <a:gd name="connsiteY23" fmla="*/ 149192 h 789222"/>
              <a:gd name="connsiteX24" fmla="*/ 409251 w 785635"/>
              <a:gd name="connsiteY24" fmla="*/ 197316 h 789222"/>
              <a:gd name="connsiteX25" fmla="*/ 482986 w 785635"/>
              <a:gd name="connsiteY25" fmla="*/ 420602 h 789222"/>
              <a:gd name="connsiteX26" fmla="*/ 301727 w 785635"/>
              <a:gd name="connsiteY26" fmla="*/ 420602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785635" h="789222">
                <a:moveTo>
                  <a:pt x="711394" y="680741"/>
                </a:moveTo>
                <a:lnTo>
                  <a:pt x="475833" y="2691"/>
                </a:lnTo>
                <a:lnTo>
                  <a:pt x="309917" y="2691"/>
                </a:lnTo>
                <a:lnTo>
                  <a:pt x="74366" y="680751"/>
                </a:lnTo>
                <a:lnTo>
                  <a:pt x="2691" y="680751"/>
                </a:lnTo>
                <a:lnTo>
                  <a:pt x="2691" y="789316"/>
                </a:lnTo>
                <a:lnTo>
                  <a:pt x="296618" y="789316"/>
                </a:lnTo>
                <a:lnTo>
                  <a:pt x="296618" y="680741"/>
                </a:lnTo>
                <a:lnTo>
                  <a:pt x="219806" y="680741"/>
                </a:lnTo>
                <a:lnTo>
                  <a:pt x="267941" y="533264"/>
                </a:lnTo>
                <a:lnTo>
                  <a:pt x="516837" y="533264"/>
                </a:lnTo>
                <a:lnTo>
                  <a:pt x="564961" y="680741"/>
                </a:lnTo>
                <a:lnTo>
                  <a:pt x="488170" y="680741"/>
                </a:lnTo>
                <a:lnTo>
                  <a:pt x="488170" y="789316"/>
                </a:lnTo>
                <a:lnTo>
                  <a:pt x="783153" y="789316"/>
                </a:lnTo>
                <a:lnTo>
                  <a:pt x="783153" y="680741"/>
                </a:lnTo>
                <a:lnTo>
                  <a:pt x="711394" y="680741"/>
                </a:lnTo>
                <a:close/>
                <a:moveTo>
                  <a:pt x="301727" y="420602"/>
                </a:moveTo>
                <a:lnTo>
                  <a:pt x="376491" y="197316"/>
                </a:lnTo>
                <a:cubicBezTo>
                  <a:pt x="379218" y="189127"/>
                  <a:pt x="381797" y="179218"/>
                  <a:pt x="384179" y="167620"/>
                </a:cubicBezTo>
                <a:cubicBezTo>
                  <a:pt x="386547" y="156019"/>
                  <a:pt x="387752" y="149870"/>
                  <a:pt x="387752" y="149192"/>
                </a:cubicBezTo>
                <a:lnTo>
                  <a:pt x="390819" y="128690"/>
                </a:lnTo>
                <a:lnTo>
                  <a:pt x="394920" y="128690"/>
                </a:lnTo>
                <a:cubicBezTo>
                  <a:pt x="394920" y="131441"/>
                  <a:pt x="395605" y="138265"/>
                  <a:pt x="396936" y="149192"/>
                </a:cubicBezTo>
                <a:lnTo>
                  <a:pt x="409251" y="197316"/>
                </a:lnTo>
                <a:lnTo>
                  <a:pt x="482986" y="420602"/>
                </a:lnTo>
                <a:lnTo>
                  <a:pt x="301727" y="420602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8" name="Freeform: Shape 27833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4108319" y="1465746"/>
            <a:ext cx="602679" cy="789223"/>
          </a:xfrm>
          <a:custGeom>
            <a:avLst/>
            <a:gdLst>
              <a:gd name="connsiteX0" fmla="*/ 600831 w 602679"/>
              <a:gd name="connsiteY0" fmla="*/ 550644 h 789222"/>
              <a:gd name="connsiteX1" fmla="*/ 476934 w 602679"/>
              <a:gd name="connsiteY1" fmla="*/ 550644 h 789222"/>
              <a:gd name="connsiteX2" fmla="*/ 476934 w 602679"/>
              <a:gd name="connsiteY2" fmla="*/ 672526 h 789222"/>
              <a:gd name="connsiteX3" fmla="*/ 222919 w 602679"/>
              <a:gd name="connsiteY3" fmla="*/ 672526 h 789222"/>
              <a:gd name="connsiteX4" fmla="*/ 192226 w 602679"/>
              <a:gd name="connsiteY4" fmla="*/ 673559 h 789222"/>
              <a:gd name="connsiteX5" fmla="*/ 177862 w 602679"/>
              <a:gd name="connsiteY5" fmla="*/ 676622 h 789222"/>
              <a:gd name="connsiteX6" fmla="*/ 177862 w 602679"/>
              <a:gd name="connsiteY6" fmla="*/ 673559 h 789222"/>
              <a:gd name="connsiteX7" fmla="*/ 189134 w 602679"/>
              <a:gd name="connsiteY7" fmla="*/ 663306 h 789222"/>
              <a:gd name="connsiteX8" fmla="*/ 210643 w 602679"/>
              <a:gd name="connsiteY8" fmla="*/ 636684 h 789222"/>
              <a:gd name="connsiteX9" fmla="*/ 588552 w 602679"/>
              <a:gd name="connsiteY9" fmla="*/ 93846 h 789222"/>
              <a:gd name="connsiteX10" fmla="*/ 588552 w 602679"/>
              <a:gd name="connsiteY10" fmla="*/ 2691 h 789222"/>
              <a:gd name="connsiteX11" fmla="*/ 7835 w 602679"/>
              <a:gd name="connsiteY11" fmla="*/ 2691 h 789222"/>
              <a:gd name="connsiteX12" fmla="*/ 7835 w 602679"/>
              <a:gd name="connsiteY12" fmla="*/ 237258 h 789222"/>
              <a:gd name="connsiteX13" fmla="*/ 130735 w 602679"/>
              <a:gd name="connsiteY13" fmla="*/ 237258 h 789222"/>
              <a:gd name="connsiteX14" fmla="*/ 130735 w 602679"/>
              <a:gd name="connsiteY14" fmla="*/ 119467 h 789222"/>
              <a:gd name="connsiteX15" fmla="*/ 368334 w 602679"/>
              <a:gd name="connsiteY15" fmla="*/ 119467 h 789222"/>
              <a:gd name="connsiteX16" fmla="*/ 399042 w 602679"/>
              <a:gd name="connsiteY16" fmla="*/ 116385 h 789222"/>
              <a:gd name="connsiteX17" fmla="*/ 406726 w 602679"/>
              <a:gd name="connsiteY17" fmla="*/ 115869 h 789222"/>
              <a:gd name="connsiteX18" fmla="*/ 413377 w 602679"/>
              <a:gd name="connsiteY18" fmla="*/ 115352 h 789222"/>
              <a:gd name="connsiteX19" fmla="*/ 413377 w 602679"/>
              <a:gd name="connsiteY19" fmla="*/ 118419 h 789222"/>
              <a:gd name="connsiteX20" fmla="*/ 402109 w 602679"/>
              <a:gd name="connsiteY20" fmla="*/ 127632 h 789222"/>
              <a:gd name="connsiteX21" fmla="*/ 380599 w 602679"/>
              <a:gd name="connsiteY21" fmla="*/ 155290 h 789222"/>
              <a:gd name="connsiteX22" fmla="*/ 2691 w 602679"/>
              <a:gd name="connsiteY22" fmla="*/ 697096 h 789222"/>
              <a:gd name="connsiteX23" fmla="*/ 2691 w 602679"/>
              <a:gd name="connsiteY23" fmla="*/ 789280 h 789222"/>
              <a:gd name="connsiteX24" fmla="*/ 600831 w 602679"/>
              <a:gd name="connsiteY24" fmla="*/ 789280 h 789222"/>
              <a:gd name="connsiteX25" fmla="*/ 600831 w 602679"/>
              <a:gd name="connsiteY25" fmla="*/ 550644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602679" h="789222">
                <a:moveTo>
                  <a:pt x="600831" y="550644"/>
                </a:moveTo>
                <a:lnTo>
                  <a:pt x="476934" y="550644"/>
                </a:lnTo>
                <a:lnTo>
                  <a:pt x="476934" y="672526"/>
                </a:lnTo>
                <a:lnTo>
                  <a:pt x="222919" y="672526"/>
                </a:lnTo>
                <a:cubicBezTo>
                  <a:pt x="208566" y="672526"/>
                  <a:pt x="198339" y="672874"/>
                  <a:pt x="192226" y="673559"/>
                </a:cubicBezTo>
                <a:lnTo>
                  <a:pt x="177862" y="676622"/>
                </a:lnTo>
                <a:lnTo>
                  <a:pt x="177862" y="673559"/>
                </a:lnTo>
                <a:lnTo>
                  <a:pt x="189134" y="663306"/>
                </a:lnTo>
                <a:cubicBezTo>
                  <a:pt x="199361" y="651030"/>
                  <a:pt x="206543" y="642155"/>
                  <a:pt x="210643" y="636684"/>
                </a:cubicBezTo>
                <a:lnTo>
                  <a:pt x="588552" y="93846"/>
                </a:lnTo>
                <a:lnTo>
                  <a:pt x="588552" y="2691"/>
                </a:lnTo>
                <a:lnTo>
                  <a:pt x="7835" y="2691"/>
                </a:lnTo>
                <a:lnTo>
                  <a:pt x="7835" y="237258"/>
                </a:lnTo>
                <a:lnTo>
                  <a:pt x="130735" y="237258"/>
                </a:lnTo>
                <a:lnTo>
                  <a:pt x="130735" y="119467"/>
                </a:lnTo>
                <a:lnTo>
                  <a:pt x="368334" y="119467"/>
                </a:lnTo>
                <a:cubicBezTo>
                  <a:pt x="380624" y="119467"/>
                  <a:pt x="390873" y="118434"/>
                  <a:pt x="399042" y="116385"/>
                </a:cubicBezTo>
                <a:cubicBezTo>
                  <a:pt x="401090" y="116385"/>
                  <a:pt x="403655" y="116213"/>
                  <a:pt x="406726" y="115869"/>
                </a:cubicBezTo>
                <a:cubicBezTo>
                  <a:pt x="409793" y="115531"/>
                  <a:pt x="412021" y="115352"/>
                  <a:pt x="413377" y="115352"/>
                </a:cubicBezTo>
                <a:lnTo>
                  <a:pt x="413377" y="118419"/>
                </a:lnTo>
                <a:lnTo>
                  <a:pt x="402109" y="127632"/>
                </a:lnTo>
                <a:cubicBezTo>
                  <a:pt x="395982" y="133777"/>
                  <a:pt x="388800" y="142996"/>
                  <a:pt x="380599" y="155290"/>
                </a:cubicBezTo>
                <a:lnTo>
                  <a:pt x="2691" y="697096"/>
                </a:lnTo>
                <a:lnTo>
                  <a:pt x="2691" y="789280"/>
                </a:lnTo>
                <a:lnTo>
                  <a:pt x="600831" y="789280"/>
                </a:lnTo>
                <a:lnTo>
                  <a:pt x="600831" y="550644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138905</xdr:colOff>
      <xdr:row>10</xdr:row>
      <xdr:rowOff>1587</xdr:rowOff>
    </xdr:from>
    <xdr:to>
      <xdr:col>5</xdr:col>
      <xdr:colOff>114300</xdr:colOff>
      <xdr:row>11</xdr:row>
      <xdr:rowOff>85725</xdr:rowOff>
    </xdr:to>
    <xdr:sp macro="" textlink="">
      <xdr:nvSpPr>
        <xdr:cNvPr id="19" name="IconChange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1091405" y="1906587"/>
          <a:ext cx="213520" cy="274638"/>
        </a:xfrm>
        <a:custGeom>
          <a:avLst/>
          <a:gdLst>
            <a:gd name="connsiteX0" fmla="*/ 231125 w 720596"/>
            <a:gd name="connsiteY0" fmla="*/ 319886 h 577643"/>
            <a:gd name="connsiteX1" fmla="*/ 292540 w 720596"/>
            <a:gd name="connsiteY1" fmla="*/ 397552 h 577643"/>
            <a:gd name="connsiteX2" fmla="*/ 1094 w 720596"/>
            <a:gd name="connsiteY2" fmla="*/ 518010 h 577643"/>
            <a:gd name="connsiteX3" fmla="*/ 1094 w 720596"/>
            <a:gd name="connsiteY3" fmla="*/ 403234 h 577643"/>
            <a:gd name="connsiteX4" fmla="*/ 220249 w 720596"/>
            <a:gd name="connsiteY4" fmla="*/ 304797 h 577643"/>
            <a:gd name="connsiteX5" fmla="*/ 231125 w 720596"/>
            <a:gd name="connsiteY5" fmla="*/ 319886 h 577643"/>
            <a:gd name="connsiteX6" fmla="*/ 353813 w 720596"/>
            <a:gd name="connsiteY6" fmla="*/ 231885 h 577643"/>
            <a:gd name="connsiteX7" fmla="*/ 386517 w 720596"/>
            <a:gd name="connsiteY7" fmla="*/ 275702 h 577643"/>
            <a:gd name="connsiteX8" fmla="*/ 562871 w 720596"/>
            <a:gd name="connsiteY8" fmla="*/ 198306 h 577643"/>
            <a:gd name="connsiteX9" fmla="*/ 534937 w 720596"/>
            <a:gd name="connsiteY9" fmla="*/ 269046 h 577643"/>
            <a:gd name="connsiteX10" fmla="*/ 537230 w 720596"/>
            <a:gd name="connsiteY10" fmla="*/ 277201 h 577643"/>
            <a:gd name="connsiteX11" fmla="*/ 541445 w 720596"/>
            <a:gd name="connsiteY11" fmla="*/ 278616 h 577643"/>
            <a:gd name="connsiteX12" fmla="*/ 545696 w 720596"/>
            <a:gd name="connsiteY12" fmla="*/ 277168 h 577643"/>
            <a:gd name="connsiteX13" fmla="*/ 717084 w 720596"/>
            <a:gd name="connsiteY13" fmla="*/ 145389 h 577643"/>
            <a:gd name="connsiteX14" fmla="*/ 719809 w 720596"/>
            <a:gd name="connsiteY14" fmla="*/ 139849 h 577643"/>
            <a:gd name="connsiteX15" fmla="*/ 717084 w 720596"/>
            <a:gd name="connsiteY15" fmla="*/ 134313 h 577643"/>
            <a:gd name="connsiteX16" fmla="*/ 545696 w 720596"/>
            <a:gd name="connsiteY16" fmla="*/ 2543 h 577643"/>
            <a:gd name="connsiteX17" fmla="*/ 537230 w 720596"/>
            <a:gd name="connsiteY17" fmla="*/ 2510 h 577643"/>
            <a:gd name="connsiteX18" fmla="*/ 534937 w 720596"/>
            <a:gd name="connsiteY18" fmla="*/ 10666 h 577643"/>
            <a:gd name="connsiteX19" fmla="*/ 563648 w 720596"/>
            <a:gd name="connsiteY19" fmla="*/ 83361 h 577643"/>
            <a:gd name="connsiteX20" fmla="*/ 316873 w 720596"/>
            <a:gd name="connsiteY20" fmla="*/ 182671 h 577643"/>
            <a:gd name="connsiteX21" fmla="*/ 353813 w 720596"/>
            <a:gd name="connsiteY21" fmla="*/ 231885 h 577643"/>
            <a:gd name="connsiteX22" fmla="*/ 545696 w 720596"/>
            <a:gd name="connsiteY22" fmla="*/ 300727 h 577643"/>
            <a:gd name="connsiteX23" fmla="*/ 541437 w 720596"/>
            <a:gd name="connsiteY23" fmla="*/ 299279 h 577643"/>
            <a:gd name="connsiteX24" fmla="*/ 537230 w 720596"/>
            <a:gd name="connsiteY24" fmla="*/ 300694 h 577643"/>
            <a:gd name="connsiteX25" fmla="*/ 534937 w 720596"/>
            <a:gd name="connsiteY25" fmla="*/ 308851 h 577643"/>
            <a:gd name="connsiteX26" fmla="*/ 562863 w 720596"/>
            <a:gd name="connsiteY26" fmla="*/ 379584 h 577643"/>
            <a:gd name="connsiteX27" fmla="*/ 340216 w 720596"/>
            <a:gd name="connsiteY27" fmla="*/ 242442 h 577643"/>
            <a:gd name="connsiteX28" fmla="*/ 1094 w 720596"/>
            <a:gd name="connsiteY28" fmla="*/ 59880 h 577643"/>
            <a:gd name="connsiteX29" fmla="*/ 1094 w 720596"/>
            <a:gd name="connsiteY29" fmla="*/ 174656 h 577643"/>
            <a:gd name="connsiteX30" fmla="*/ 246947 w 720596"/>
            <a:gd name="connsiteY30" fmla="*/ 309332 h 577643"/>
            <a:gd name="connsiteX31" fmla="*/ 563647 w 720596"/>
            <a:gd name="connsiteY31" fmla="*/ 494543 h 577643"/>
            <a:gd name="connsiteX32" fmla="*/ 534935 w 720596"/>
            <a:gd name="connsiteY32" fmla="*/ 567234 h 577643"/>
            <a:gd name="connsiteX33" fmla="*/ 537228 w 720596"/>
            <a:gd name="connsiteY33" fmla="*/ 575391 h 577643"/>
            <a:gd name="connsiteX34" fmla="*/ 545694 w 720596"/>
            <a:gd name="connsiteY34" fmla="*/ 575357 h 577643"/>
            <a:gd name="connsiteX35" fmla="*/ 717083 w 720596"/>
            <a:gd name="connsiteY35" fmla="*/ 443579 h 577643"/>
            <a:gd name="connsiteX36" fmla="*/ 719816 w 720596"/>
            <a:gd name="connsiteY36" fmla="*/ 438043 h 577643"/>
            <a:gd name="connsiteX37" fmla="*/ 717083 w 720596"/>
            <a:gd name="connsiteY37" fmla="*/ 432507 h 577643"/>
            <a:gd name="connsiteX38" fmla="*/ 545696 w 720596"/>
            <a:gd name="connsiteY38" fmla="*/ 300727 h 5776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720596" h="577643">
              <a:moveTo>
                <a:pt x="231125" y="319886"/>
              </a:moveTo>
              <a:cubicBezTo>
                <a:pt x="249119" y="344975"/>
                <a:pt x="268497" y="371936"/>
                <a:pt x="292540" y="397552"/>
              </a:cubicBezTo>
              <a:cubicBezTo>
                <a:pt x="237730" y="460622"/>
                <a:pt x="157856" y="518010"/>
                <a:pt x="1094" y="518010"/>
              </a:cubicBezTo>
              <a:lnTo>
                <a:pt x="1094" y="403234"/>
              </a:lnTo>
              <a:cubicBezTo>
                <a:pt x="125381" y="403234"/>
                <a:pt x="175725" y="362020"/>
                <a:pt x="220249" y="304797"/>
              </a:cubicBezTo>
              <a:cubicBezTo>
                <a:pt x="223831" y="309729"/>
                <a:pt x="227445" y="314747"/>
                <a:pt x="231125" y="319886"/>
              </a:cubicBezTo>
              <a:close/>
              <a:moveTo>
                <a:pt x="353813" y="231885"/>
              </a:moveTo>
              <a:cubicBezTo>
                <a:pt x="365044" y="247537"/>
                <a:pt x="375593" y="262222"/>
                <a:pt x="386517" y="275702"/>
              </a:cubicBezTo>
              <a:cubicBezTo>
                <a:pt x="424385" y="233923"/>
                <a:pt x="471935" y="204109"/>
                <a:pt x="562871" y="198306"/>
              </a:cubicBezTo>
              <a:lnTo>
                <a:pt x="534937" y="269046"/>
              </a:lnTo>
              <a:cubicBezTo>
                <a:pt x="533771" y="271978"/>
                <a:pt x="534712" y="275306"/>
                <a:pt x="537230" y="277201"/>
              </a:cubicBezTo>
              <a:cubicBezTo>
                <a:pt x="538478" y="278129"/>
                <a:pt x="539962" y="278616"/>
                <a:pt x="541445" y="278616"/>
              </a:cubicBezTo>
              <a:cubicBezTo>
                <a:pt x="542945" y="278616"/>
                <a:pt x="544447" y="278129"/>
                <a:pt x="545696" y="277168"/>
              </a:cubicBezTo>
              <a:lnTo>
                <a:pt x="717084" y="145389"/>
              </a:lnTo>
              <a:cubicBezTo>
                <a:pt x="718801" y="144079"/>
                <a:pt x="719809" y="142021"/>
                <a:pt x="719809" y="139849"/>
              </a:cubicBezTo>
              <a:cubicBezTo>
                <a:pt x="719809" y="137681"/>
                <a:pt x="718808" y="135620"/>
                <a:pt x="717084" y="134313"/>
              </a:cubicBezTo>
              <a:lnTo>
                <a:pt x="545696" y="2543"/>
              </a:lnTo>
              <a:cubicBezTo>
                <a:pt x="543196" y="625"/>
                <a:pt x="539730" y="608"/>
                <a:pt x="537230" y="2510"/>
              </a:cubicBezTo>
              <a:cubicBezTo>
                <a:pt x="534710" y="4406"/>
                <a:pt x="533762" y="7735"/>
                <a:pt x="534937" y="10666"/>
              </a:cubicBezTo>
              <a:lnTo>
                <a:pt x="563648" y="83361"/>
              </a:lnTo>
              <a:cubicBezTo>
                <a:pt x="440587" y="89807"/>
                <a:pt x="368019" y="132265"/>
                <a:pt x="316873" y="182671"/>
              </a:cubicBezTo>
              <a:cubicBezTo>
                <a:pt x="330567" y="199517"/>
                <a:pt x="342609" y="216266"/>
                <a:pt x="353813" y="231885"/>
              </a:cubicBezTo>
              <a:close/>
              <a:moveTo>
                <a:pt x="545696" y="300727"/>
              </a:moveTo>
              <a:cubicBezTo>
                <a:pt x="544428" y="299762"/>
                <a:pt x="542929" y="299279"/>
                <a:pt x="541437" y="299279"/>
              </a:cubicBezTo>
              <a:cubicBezTo>
                <a:pt x="539953" y="299279"/>
                <a:pt x="538471" y="299762"/>
                <a:pt x="537230" y="300694"/>
              </a:cubicBezTo>
              <a:cubicBezTo>
                <a:pt x="534710" y="302590"/>
                <a:pt x="533762" y="305919"/>
                <a:pt x="534937" y="308851"/>
              </a:cubicBezTo>
              <a:lnTo>
                <a:pt x="562863" y="379584"/>
              </a:lnTo>
              <a:cubicBezTo>
                <a:pt x="432714" y="371299"/>
                <a:pt x="391396" y="313816"/>
                <a:pt x="340216" y="242442"/>
              </a:cubicBezTo>
              <a:cubicBezTo>
                <a:pt x="281883" y="161102"/>
                <a:pt x="209291" y="59880"/>
                <a:pt x="1094" y="59880"/>
              </a:cubicBezTo>
              <a:lnTo>
                <a:pt x="1094" y="174656"/>
              </a:lnTo>
              <a:cubicBezTo>
                <a:pt x="150358" y="174656"/>
                <a:pt x="192986" y="234075"/>
                <a:pt x="246947" y="309332"/>
              </a:cubicBezTo>
              <a:cubicBezTo>
                <a:pt x="303266" y="387871"/>
                <a:pt x="372721" y="484532"/>
                <a:pt x="563647" y="494543"/>
              </a:cubicBezTo>
              <a:lnTo>
                <a:pt x="534935" y="567234"/>
              </a:lnTo>
              <a:cubicBezTo>
                <a:pt x="533770" y="570166"/>
                <a:pt x="534710" y="573495"/>
                <a:pt x="537228" y="575391"/>
              </a:cubicBezTo>
              <a:cubicBezTo>
                <a:pt x="539728" y="577297"/>
                <a:pt x="543203" y="577280"/>
                <a:pt x="545694" y="575357"/>
              </a:cubicBezTo>
              <a:lnTo>
                <a:pt x="717083" y="443579"/>
              </a:lnTo>
              <a:cubicBezTo>
                <a:pt x="718808" y="442276"/>
                <a:pt x="719816" y="440215"/>
                <a:pt x="719816" y="438043"/>
              </a:cubicBezTo>
              <a:cubicBezTo>
                <a:pt x="719816" y="435871"/>
                <a:pt x="718816" y="433819"/>
                <a:pt x="717083" y="432507"/>
              </a:cubicBezTo>
              <a:lnTo>
                <a:pt x="545696" y="300727"/>
              </a:lnTo>
              <a:close/>
            </a:path>
          </a:pathLst>
        </a:custGeom>
        <a:solidFill>
          <a:schemeClr val="bg1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159544</xdr:colOff>
      <xdr:row>28</xdr:row>
      <xdr:rowOff>180975</xdr:rowOff>
    </xdr:to>
    <xdr:pic>
      <xdr:nvPicPr>
        <xdr:cNvPr id="2" name="pictu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78744" cy="55149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23</xdr:row>
      <xdr:rowOff>41275</xdr:rowOff>
    </xdr:from>
    <xdr:to>
      <xdr:col>3</xdr:col>
      <xdr:colOff>159544</xdr:colOff>
      <xdr:row>25</xdr:row>
      <xdr:rowOff>104775</xdr:rowOff>
    </xdr:to>
    <xdr:sp macro="" textlink="">
      <xdr:nvSpPr>
        <xdr:cNvPr id="3" name="about" descr="0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/>
        </xdr:cNvSpPr>
      </xdr:nvSpPr>
      <xdr:spPr>
        <a:xfrm>
          <a:off x="0" y="4422775"/>
          <a:ext cx="1378744" cy="4445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9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CA" sz="900" b="0">
              <a:solidFill>
                <a:srgbClr val="FFFFFF"/>
              </a:solidFill>
            </a:rPr>
            <a:t>© hqinside.com</a:t>
          </a:r>
          <a:endParaRPr lang="uk-UA" sz="9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4</xdr:col>
      <xdr:colOff>0</xdr:colOff>
      <xdr:row>2</xdr:row>
      <xdr:rowOff>0</xdr:rowOff>
    </xdr:from>
    <xdr:to>
      <xdr:col>14</xdr:col>
      <xdr:colOff>254000</xdr:colOff>
      <xdr:row>4</xdr:row>
      <xdr:rowOff>0</xdr:rowOff>
    </xdr:to>
    <xdr:sp macro="" textlink="">
      <xdr:nvSpPr>
        <xdr:cNvPr id="4" name="Rectangle 3" descr="n0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spect="1"/>
        </xdr:cNvSpPr>
      </xdr:nvSpPr>
      <xdr:spPr>
        <a:xfrm>
          <a:off x="1828800" y="3810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4</xdr:col>
      <xdr:colOff>0</xdr:colOff>
      <xdr:row>5</xdr:row>
      <xdr:rowOff>114300</xdr:rowOff>
    </xdr:from>
    <xdr:to>
      <xdr:col>14</xdr:col>
      <xdr:colOff>254000</xdr:colOff>
      <xdr:row>7</xdr:row>
      <xdr:rowOff>114300</xdr:rowOff>
    </xdr:to>
    <xdr:sp macro="" textlink="">
      <xdr:nvSpPr>
        <xdr:cNvPr id="5" name="Rectangle 4" descr="n0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spect="1"/>
        </xdr:cNvSpPr>
      </xdr:nvSpPr>
      <xdr:spPr>
        <a:xfrm>
          <a:off x="1828800" y="10668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4</xdr:col>
      <xdr:colOff>0</xdr:colOff>
      <xdr:row>9</xdr:row>
      <xdr:rowOff>38100</xdr:rowOff>
    </xdr:from>
    <xdr:to>
      <xdr:col>14</xdr:col>
      <xdr:colOff>254000</xdr:colOff>
      <xdr:row>11</xdr:row>
      <xdr:rowOff>38100</xdr:rowOff>
    </xdr:to>
    <xdr:sp macro="" textlink="">
      <xdr:nvSpPr>
        <xdr:cNvPr id="6" name="Rectangle 5" descr="n0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Aspect="1"/>
        </xdr:cNvSpPr>
      </xdr:nvSpPr>
      <xdr:spPr>
        <a:xfrm>
          <a:off x="1828800" y="17526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4</xdr:col>
      <xdr:colOff>0</xdr:colOff>
      <xdr:row>12</xdr:row>
      <xdr:rowOff>152400</xdr:rowOff>
    </xdr:from>
    <xdr:to>
      <xdr:col>14</xdr:col>
      <xdr:colOff>254000</xdr:colOff>
      <xdr:row>14</xdr:row>
      <xdr:rowOff>152400</xdr:rowOff>
    </xdr:to>
    <xdr:sp macro="" textlink="">
      <xdr:nvSpPr>
        <xdr:cNvPr id="7" name="Rectangle 6" descr="n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 noChangeAspect="1"/>
        </xdr:cNvSpPr>
      </xdr:nvSpPr>
      <xdr:spPr>
        <a:xfrm>
          <a:off x="1828800" y="24384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4</xdr:col>
      <xdr:colOff>0</xdr:colOff>
      <xdr:row>16</xdr:row>
      <xdr:rowOff>76200</xdr:rowOff>
    </xdr:from>
    <xdr:to>
      <xdr:col>14</xdr:col>
      <xdr:colOff>254000</xdr:colOff>
      <xdr:row>18</xdr:row>
      <xdr:rowOff>76200</xdr:rowOff>
    </xdr:to>
    <xdr:sp macro="" textlink="">
      <xdr:nvSpPr>
        <xdr:cNvPr id="8" name="Rectangle 7" descr="n0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>
          <a:spLocks noChangeAspect="1"/>
        </xdr:cNvSpPr>
      </xdr:nvSpPr>
      <xdr:spPr>
        <a:xfrm>
          <a:off x="1828800" y="31242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4</xdr:col>
      <xdr:colOff>0</xdr:colOff>
      <xdr:row>20</xdr:row>
      <xdr:rowOff>0</xdr:rowOff>
    </xdr:from>
    <xdr:to>
      <xdr:col>14</xdr:col>
      <xdr:colOff>254000</xdr:colOff>
      <xdr:row>22</xdr:row>
      <xdr:rowOff>0</xdr:rowOff>
    </xdr:to>
    <xdr:sp macro="" textlink="">
      <xdr:nvSpPr>
        <xdr:cNvPr id="9" name="Rectangle 8" descr="n0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>
          <a:spLocks noChangeAspect="1"/>
        </xdr:cNvSpPr>
      </xdr:nvSpPr>
      <xdr:spPr>
        <a:xfrm>
          <a:off x="1828800" y="38100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25400</xdr:rowOff>
    </xdr:from>
    <xdr:to>
      <xdr:col>5</xdr:col>
      <xdr:colOff>866775</xdr:colOff>
      <xdr:row>2</xdr:row>
      <xdr:rowOff>25400</xdr:rowOff>
    </xdr:to>
    <xdr:sp macro="" textlink="">
      <xdr:nvSpPr>
        <xdr:cNvPr id="2" name="Rectangle 1" descr="0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/>
        </xdr:cNvSpPr>
      </xdr:nvSpPr>
      <xdr:spPr>
        <a:xfrm>
          <a:off x="180975" y="254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ПОДОБРАТЬ ПРОДУКТЫ</a:t>
          </a:r>
        </a:p>
      </xdr:txBody>
    </xdr:sp>
    <xdr:clientData/>
  </xdr:twoCellAnchor>
  <xdr:twoCellAnchor>
    <xdr:from>
      <xdr:col>2</xdr:col>
      <xdr:colOff>0</xdr:colOff>
      <xdr:row>2</xdr:row>
      <xdr:rowOff>25400</xdr:rowOff>
    </xdr:from>
    <xdr:to>
      <xdr:col>4</xdr:col>
      <xdr:colOff>247650</xdr:colOff>
      <xdr:row>3</xdr:row>
      <xdr:rowOff>139700</xdr:rowOff>
    </xdr:to>
    <xdr:sp macro="" textlink="">
      <xdr:nvSpPr>
        <xdr:cNvPr id="3" name="Rectangle 2" descr="0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180975" y="406400"/>
          <a:ext cx="1143000" cy="304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500" b="0">
              <a:solidFill>
                <a:srgbClr val="0070C0"/>
              </a:solidFill>
              <a:latin typeface="Calibri Light" panose="020F0302020204030204" pitchFamily="34" charset="0"/>
            </a:rPr>
            <a:t>для блюда</a:t>
          </a:r>
        </a:p>
      </xdr:txBody>
    </xdr:sp>
    <xdr:clientData/>
  </xdr:twoCellAnchor>
  <xdr:twoCellAnchor>
    <xdr:from>
      <xdr:col>4</xdr:col>
      <xdr:colOff>247650</xdr:colOff>
      <xdr:row>1</xdr:row>
      <xdr:rowOff>177800</xdr:rowOff>
    </xdr:from>
    <xdr:to>
      <xdr:col>5</xdr:col>
      <xdr:colOff>3914774</xdr:colOff>
      <xdr:row>5</xdr:row>
      <xdr:rowOff>25400</xdr:rowOff>
    </xdr:to>
    <xdr:sp macro="" textlink="">
      <xdr:nvSpPr>
        <xdr:cNvPr id="4" name="product_dish" descr="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/>
        </xdr:cNvSpPr>
      </xdr:nvSpPr>
      <xdr:spPr>
        <a:xfrm>
          <a:off x="1323975" y="368300"/>
          <a:ext cx="5714999" cy="6096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0" rtlCol="0" anchor="t"/>
        <a:lstStyle/>
        <a:p>
          <a:pPr algn="l" eaLnBrk="1"/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C</a:t>
          </a:r>
          <a:r>
            <a:rPr lang="uk-UA" sz="1800" b="0" u="sng">
              <a:solidFill>
                <a:srgbClr val="6E6E6E"/>
              </a:solidFill>
              <a:latin typeface="Calibri" panose="020F0502020204030204" pitchFamily="34" charset="0"/>
            </a:rPr>
            <a:t>уп овощной </a:t>
          </a:r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rwertert j;werjtkew;ktew ;k's;k'w;ket'ew;lkt  lk';lk';k';lk  ';k';lk';k';lk</a:t>
          </a:r>
          <a:endParaRPr lang="uk-UA" sz="1800" b="0" u="sng">
            <a:solidFill>
              <a:srgbClr val="6E6E6E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25400</xdr:rowOff>
    </xdr:from>
    <xdr:to>
      <xdr:col>4</xdr:col>
      <xdr:colOff>374650</xdr:colOff>
      <xdr:row>6</xdr:row>
      <xdr:rowOff>38100</xdr:rowOff>
    </xdr:to>
    <xdr:sp macro="" textlink="">
      <xdr:nvSpPr>
        <xdr:cNvPr id="5" name="Rectangle 4" descr="0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spect="1"/>
        </xdr:cNvSpPr>
      </xdr:nvSpPr>
      <xdr:spPr>
        <a:xfrm>
          <a:off x="180975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Критерий поиска: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5</xdr:row>
          <xdr:rowOff>28575</xdr:rowOff>
        </xdr:from>
        <xdr:to>
          <xdr:col>4</xdr:col>
          <xdr:colOff>581025</xdr:colOff>
          <xdr:row>6</xdr:row>
          <xdr:rowOff>19050</xdr:rowOff>
        </xdr:to>
        <xdr:sp macro="" textlink="">
          <xdr:nvSpPr>
            <xdr:cNvPr id="196609" name="product_searchbytype" descr="L0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id="{00000000-0008-0000-0500-000001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584200</xdr:colOff>
      <xdr:row>5</xdr:row>
      <xdr:rowOff>25400</xdr:rowOff>
    </xdr:from>
    <xdr:to>
      <xdr:col>4</xdr:col>
      <xdr:colOff>1219199</xdr:colOff>
      <xdr:row>6</xdr:row>
      <xdr:rowOff>38100</xdr:rowOff>
    </xdr:to>
    <xdr:sp macro="" textlink="">
      <xdr:nvSpPr>
        <xdr:cNvPr id="7" name="Rectangle 6" descr="0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spect="1"/>
        </xdr:cNvSpPr>
      </xdr:nvSpPr>
      <xdr:spPr>
        <a:xfrm>
          <a:off x="1660525" y="977900"/>
          <a:ext cx="634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виду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5</xdr:row>
          <xdr:rowOff>28575</xdr:rowOff>
        </xdr:from>
        <xdr:to>
          <xdr:col>4</xdr:col>
          <xdr:colOff>1428750</xdr:colOff>
          <xdr:row>6</xdr:row>
          <xdr:rowOff>19050</xdr:rowOff>
        </xdr:to>
        <xdr:sp macro="" textlink="">
          <xdr:nvSpPr>
            <xdr:cNvPr id="196610" name="product_searchbyname" descr="L0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id="{00000000-0008-0000-0500-000002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1428749</xdr:colOff>
      <xdr:row>5</xdr:row>
      <xdr:rowOff>25400</xdr:rowOff>
    </xdr:from>
    <xdr:to>
      <xdr:col>5</xdr:col>
      <xdr:colOff>650874</xdr:colOff>
      <xdr:row>6</xdr:row>
      <xdr:rowOff>38100</xdr:rowOff>
    </xdr:to>
    <xdr:sp macro="" textlink="">
      <xdr:nvSpPr>
        <xdr:cNvPr id="9" name="Rectangle 8" descr="0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2505074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наименованию</a:t>
          </a:r>
        </a:p>
      </xdr:txBody>
    </xdr:sp>
    <xdr:clientData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0" name="All_off" descr="0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ВСЕ</a:t>
          </a:r>
        </a:p>
      </xdr:txBody>
    </xdr:sp>
    <xdr:clientData fLocksWithSheet="0"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1" name="All_on" descr="0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ВСЕ</a:t>
          </a:r>
        </a:p>
      </xdr:txBody>
    </xdr:sp>
    <xdr:clientData fLocksWithSheet="0"/>
  </xdr:twoCellAnchor>
  <xdr:twoCellAnchor>
    <xdr:from>
      <xdr:col>3</xdr:col>
      <xdr:colOff>76199</xdr:colOff>
      <xdr:row>6</xdr:row>
      <xdr:rowOff>88900</xdr:rowOff>
    </xdr:from>
    <xdr:to>
      <xdr:col>4</xdr:col>
      <xdr:colOff>450848</xdr:colOff>
      <xdr:row>7</xdr:row>
      <xdr:rowOff>63500</xdr:rowOff>
    </xdr:to>
    <xdr:sp macro="ResetAlphabet" textlink="">
      <xdr:nvSpPr>
        <xdr:cNvPr id="12" name="Reset" descr="0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spect="1"/>
        </xdr:cNvSpPr>
      </xdr:nvSpPr>
      <xdr:spPr>
        <a:xfrm>
          <a:off x="638174" y="1231900"/>
          <a:ext cx="888999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'ABC_Click &quot;А&quot;'" textlink="">
      <xdr:nvSpPr>
        <xdr:cNvPr id="13" name="А_off" descr="0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ABC_Click" textlink="">
      <xdr:nvSpPr>
        <xdr:cNvPr id="14" name="А_on" descr="0" hidden="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'ABC_Click &quot;Б&quot;'" textlink="">
      <xdr:nvSpPr>
        <xdr:cNvPr id="15" name="Б_off" descr="0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ABC_Click" textlink="">
      <xdr:nvSpPr>
        <xdr:cNvPr id="16" name="Б_on" descr="0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'ABC_Click &quot;В&quot;'" textlink="">
      <xdr:nvSpPr>
        <xdr:cNvPr id="17" name="В_off" descr="0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ABC_Click" textlink="">
      <xdr:nvSpPr>
        <xdr:cNvPr id="18" name="В_on" descr="0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'ABC_Click &quot;Г&quot;'" textlink="">
      <xdr:nvSpPr>
        <xdr:cNvPr id="19" name="Г_off" descr="0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ABC_Click" textlink="">
      <xdr:nvSpPr>
        <xdr:cNvPr id="20" name="Г_on" descr="0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'ABC_Click &quot;Д&quot;'" textlink="">
      <xdr:nvSpPr>
        <xdr:cNvPr id="21" name="Д_off" descr="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ABC_Click" textlink="">
      <xdr:nvSpPr>
        <xdr:cNvPr id="22" name="Д_on" descr="0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'ABC_Click &quot;Е&quot;'" textlink="">
      <xdr:nvSpPr>
        <xdr:cNvPr id="23" name="Е_off" descr="0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ABC_Click" textlink="">
      <xdr:nvSpPr>
        <xdr:cNvPr id="24" name="Е_on" descr="0" hidden="1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'ABC_Click &quot;Ё&quot;'" textlink="">
      <xdr:nvSpPr>
        <xdr:cNvPr id="25" name="Ё_off" descr="0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ABC_Click" textlink="">
      <xdr:nvSpPr>
        <xdr:cNvPr id="26" name="Ё_on" descr="0" hidden="1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'ABC_Click &quot;Ж&quot;'" textlink="">
      <xdr:nvSpPr>
        <xdr:cNvPr id="27" name="Ж_off" descr="0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Ж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ABC_Click" textlink="">
      <xdr:nvSpPr>
        <xdr:cNvPr id="28" name="Ж_on" descr="0" hidden="1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Ж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'ABC_Click &quot;З&quot;'" textlink="">
      <xdr:nvSpPr>
        <xdr:cNvPr id="29" name="З_off" descr="0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ABC_Click" textlink="">
      <xdr:nvSpPr>
        <xdr:cNvPr id="30" name="З_on" descr="0" hidden="1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'ABC_Click &quot;И&quot;'" textlink="">
      <xdr:nvSpPr>
        <xdr:cNvPr id="31" name="И_off" descr="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ABC_Click" textlink="">
      <xdr:nvSpPr>
        <xdr:cNvPr id="32" name="И_on" descr="0" hidden="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'ABC_Click &quot;Й&quot;'" textlink="">
      <xdr:nvSpPr>
        <xdr:cNvPr id="33" name="Й_off" descr="0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ABC_Click" textlink="">
      <xdr:nvSpPr>
        <xdr:cNvPr id="34" name="Й_on" descr="0" hidden="1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'ABC_Click &quot;К&quot;'" textlink="">
      <xdr:nvSpPr>
        <xdr:cNvPr id="35" name="К_off" descr="0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ABC_Click" textlink="">
      <xdr:nvSpPr>
        <xdr:cNvPr id="36" name="К_on" descr="0" hidden="1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'ABC_Click &quot;Л&quot;'" textlink="">
      <xdr:nvSpPr>
        <xdr:cNvPr id="37" name="Л_off" descr="0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ABC_Click" textlink="">
      <xdr:nvSpPr>
        <xdr:cNvPr id="38" name="Л_on" descr="0" hidden="1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'ABC_Click &quot;М&quot;'" textlink="">
      <xdr:nvSpPr>
        <xdr:cNvPr id="39" name="М_off" descr="0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ABC_Click" textlink="">
      <xdr:nvSpPr>
        <xdr:cNvPr id="40" name="М_on" descr="0" hidden="1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'ABC_Click &quot;Н&quot;'" textlink="">
      <xdr:nvSpPr>
        <xdr:cNvPr id="41" name="Н_off" descr="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ABC_Click" textlink="">
      <xdr:nvSpPr>
        <xdr:cNvPr id="42" name="Н_on" descr="0" hidden="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'ABC_Click &quot;О&quot;'" textlink="">
      <xdr:nvSpPr>
        <xdr:cNvPr id="43" name="О_off" descr="0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ABC_Click" textlink="">
      <xdr:nvSpPr>
        <xdr:cNvPr id="44" name="О_on" descr="0" hidden="1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'ABC_Click &quot;П&quot;'" textlink="">
      <xdr:nvSpPr>
        <xdr:cNvPr id="45" name="П_off" descr="0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ABC_Click" textlink="">
      <xdr:nvSpPr>
        <xdr:cNvPr id="46" name="П_on" descr="0" hidden="1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'ABC_Click &quot;Р&quot;'" textlink="">
      <xdr:nvSpPr>
        <xdr:cNvPr id="47" name="Р_off" descr="0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ABC_Click" textlink="">
      <xdr:nvSpPr>
        <xdr:cNvPr id="48" name="Р_on" descr="0" hidden="1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'ABC_Click &quot;С&quot;'" textlink="">
      <xdr:nvSpPr>
        <xdr:cNvPr id="49" name="С_off" descr="0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ABC_Click" textlink="">
      <xdr:nvSpPr>
        <xdr:cNvPr id="50" name="С_on" descr="0" hidden="1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'ABC_Click &quot;Т&quot;'" textlink="">
      <xdr:nvSpPr>
        <xdr:cNvPr id="51" name="Т_off" descr="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ABC_Click" textlink="">
      <xdr:nvSpPr>
        <xdr:cNvPr id="52" name="Т_on" descr="0" hidden="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'ABC_Click &quot;У&quot;'" textlink="">
      <xdr:nvSpPr>
        <xdr:cNvPr id="53" name="У_off" descr="0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ABC_Click" textlink="">
      <xdr:nvSpPr>
        <xdr:cNvPr id="54" name="У_on" descr="0" hidden="1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'ABC_Click &quot;Ф&quot;'" textlink="">
      <xdr:nvSpPr>
        <xdr:cNvPr id="55" name="Ф_off" descr="0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ABC_Click" textlink="">
      <xdr:nvSpPr>
        <xdr:cNvPr id="56" name="Ф_on" descr="0" hidden="1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'ABC_Click &quot;Х&quot;'" textlink="">
      <xdr:nvSpPr>
        <xdr:cNvPr id="57" name="Х_off" descr="0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ABC_Click" textlink="">
      <xdr:nvSpPr>
        <xdr:cNvPr id="58" name="Х_on" descr="0" hidden="1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'ABC_Click &quot;Ц&quot;'" textlink="">
      <xdr:nvSpPr>
        <xdr:cNvPr id="59" name="Ц_off" descr="0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ABC_Click" textlink="">
      <xdr:nvSpPr>
        <xdr:cNvPr id="60" name="Ц_on" descr="0" hidden="1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'ABC_Click &quot;Ч&quot;'" textlink="">
      <xdr:nvSpPr>
        <xdr:cNvPr id="61" name="Ч_off" descr="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ABC_Click" textlink="">
      <xdr:nvSpPr>
        <xdr:cNvPr id="62" name="Ч_on" descr="0" hidden="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'ABC_Click &quot;Ш&quot;'" textlink="">
      <xdr:nvSpPr>
        <xdr:cNvPr id="63" name="Ш_off" descr="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ABC_Click" textlink="">
      <xdr:nvSpPr>
        <xdr:cNvPr id="64" name="Ш_on" descr="0" hidden="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'ABC_Click &quot;Щ&quot;'" textlink="">
      <xdr:nvSpPr>
        <xdr:cNvPr id="65" name="Щ_off" descr="0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ABC_Click" textlink="">
      <xdr:nvSpPr>
        <xdr:cNvPr id="66" name="Щ_on" descr="0" hidden="1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'ABC_Click &quot;Э&quot;'" textlink="">
      <xdr:nvSpPr>
        <xdr:cNvPr id="67" name="Э_off" descr="0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ABC_Click" textlink="">
      <xdr:nvSpPr>
        <xdr:cNvPr id="68" name="Э_on" descr="0" hidden="1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'ABC_Click &quot;Ю&quot;'" textlink="">
      <xdr:nvSpPr>
        <xdr:cNvPr id="69" name="Ю_off" descr="0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ABC_Click" textlink="">
      <xdr:nvSpPr>
        <xdr:cNvPr id="70" name="Ю_on" descr="0" hidden="1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'ABC_Click &quot;Я&quot;'" textlink="">
      <xdr:nvSpPr>
        <xdr:cNvPr id="71" name="Я_off" descr="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Я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ABC_Click" textlink="">
      <xdr:nvSpPr>
        <xdr:cNvPr id="72" name="Я_on" descr="0" hidden="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Я</a:t>
          </a: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'ABC_Click &quot;A&quot;'" textlink="">
      <xdr:nvSpPr>
        <xdr:cNvPr id="73" name="A_off" descr="0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A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ABC_Click" textlink="">
      <xdr:nvSpPr>
        <xdr:cNvPr id="74" name="A_on" descr="0" hidden="1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A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'ABC_Click &quot;B&quot;'" textlink="">
      <xdr:nvSpPr>
        <xdr:cNvPr id="75" name="B_off" descr="0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B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ABC_Click" textlink="">
      <xdr:nvSpPr>
        <xdr:cNvPr id="76" name="B_on" descr="0" hidden="1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B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'ABC_Click &quot;C&quot;'" textlink="">
      <xdr:nvSpPr>
        <xdr:cNvPr id="77" name="C_off" descr="0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C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ABC_Click" textlink="">
      <xdr:nvSpPr>
        <xdr:cNvPr id="78" name="C_on" descr="0" hidden="1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C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'ABC_Click &quot;D&quot;'" textlink="">
      <xdr:nvSpPr>
        <xdr:cNvPr id="79" name="D_off" descr="0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D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ABC_Click" textlink="">
      <xdr:nvSpPr>
        <xdr:cNvPr id="80" name="D_on" descr="0" hidden="1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D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'ABC_Click &quot;E&quot;'" textlink="">
      <xdr:nvSpPr>
        <xdr:cNvPr id="81" name="E_off" descr="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E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ABC_Click" textlink="">
      <xdr:nvSpPr>
        <xdr:cNvPr id="82" name="E_on" descr="0" hidden="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E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'ABC_Click &quot;F&quot;'" textlink="">
      <xdr:nvSpPr>
        <xdr:cNvPr id="83" name="F_off" descr="0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F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ABC_Click" textlink="">
      <xdr:nvSpPr>
        <xdr:cNvPr id="84" name="F_on" descr="0" hidden="1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F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'ABC_Click &quot;G&quot;'" textlink="">
      <xdr:nvSpPr>
        <xdr:cNvPr id="85" name="G_off" descr="0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G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ABC_Click" textlink="">
      <xdr:nvSpPr>
        <xdr:cNvPr id="86" name="G_on" descr="0" hidden="1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G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'ABC_Click &quot;H&quot;'" textlink="">
      <xdr:nvSpPr>
        <xdr:cNvPr id="87" name="H_off" descr="0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H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ABC_Click" textlink="">
      <xdr:nvSpPr>
        <xdr:cNvPr id="88" name="H_on" descr="0" hidden="1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H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'ABC_Click &quot;I&quot;'" textlink="">
      <xdr:nvSpPr>
        <xdr:cNvPr id="89" name="I_off" descr="0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I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ABC_Click" textlink="">
      <xdr:nvSpPr>
        <xdr:cNvPr id="90" name="I_on" descr="0" hidden="1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I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'ABC_Click &quot;J&quot;'" textlink="">
      <xdr:nvSpPr>
        <xdr:cNvPr id="91" name="J_off" descr="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J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ABC_Click" textlink="">
      <xdr:nvSpPr>
        <xdr:cNvPr id="92" name="J_on" descr="0" hidden="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J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'ABC_Click &quot;K&quot;'" textlink="">
      <xdr:nvSpPr>
        <xdr:cNvPr id="93" name="K_off" descr="0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K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ABC_Click" textlink="">
      <xdr:nvSpPr>
        <xdr:cNvPr id="94" name="K_on" descr="0" hidden="1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K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'ABC_Click &quot;L&quot;'" textlink="">
      <xdr:nvSpPr>
        <xdr:cNvPr id="95" name="L_off" descr="0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L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ABC_Click" textlink="">
      <xdr:nvSpPr>
        <xdr:cNvPr id="96" name="L_on" descr="0" hidden="1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L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'ABC_Click &quot;M&quot;'" textlink="">
      <xdr:nvSpPr>
        <xdr:cNvPr id="97" name="M_off" descr="0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M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ABC_Click" textlink="">
      <xdr:nvSpPr>
        <xdr:cNvPr id="98" name="M_on" descr="0" hidden="1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M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'ABC_Click &quot;N&quot;'" textlink="">
      <xdr:nvSpPr>
        <xdr:cNvPr id="99" name="N_off" descr="0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N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ABC_Click" textlink="">
      <xdr:nvSpPr>
        <xdr:cNvPr id="100" name="N_on" descr="0" hidden="1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N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'ABC_Click &quot;O&quot;'" textlink="">
      <xdr:nvSpPr>
        <xdr:cNvPr id="101" name="O_off" descr="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O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ABC_Click" textlink="">
      <xdr:nvSpPr>
        <xdr:cNvPr id="102" name="O_on" descr="0" hidden="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O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'ABC_Click &quot;P&quot;'" textlink="">
      <xdr:nvSpPr>
        <xdr:cNvPr id="103" name="P_off" descr="0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P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ABC_Click" textlink="">
      <xdr:nvSpPr>
        <xdr:cNvPr id="104" name="P_on" descr="0" hidden="1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P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'ABC_Click &quot;Q&quot;'" textlink="">
      <xdr:nvSpPr>
        <xdr:cNvPr id="105" name="Q_off" descr="0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Q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ABC_Click" textlink="">
      <xdr:nvSpPr>
        <xdr:cNvPr id="106" name="Q_on" descr="0" hidden="1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Q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'ABC_Click &quot;R&quot;'" textlink="">
      <xdr:nvSpPr>
        <xdr:cNvPr id="107" name="R_off" descr="0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R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ABC_Click" textlink="">
      <xdr:nvSpPr>
        <xdr:cNvPr id="108" name="R_on" descr="0" hidden="1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R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'ABC_Click &quot;S&quot;'" textlink="">
      <xdr:nvSpPr>
        <xdr:cNvPr id="109" name="S_off" descr="0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S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ABC_Click" textlink="">
      <xdr:nvSpPr>
        <xdr:cNvPr id="110" name="S_on" descr="0" hidden="1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S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'ABC_Click &quot;T&quot;'" textlink="">
      <xdr:nvSpPr>
        <xdr:cNvPr id="111" name="T_off" descr="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T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ABC_Click" textlink="">
      <xdr:nvSpPr>
        <xdr:cNvPr id="112" name="T_on" descr="0" hidden="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T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'ABC_Click &quot;U&quot;'" textlink="">
      <xdr:nvSpPr>
        <xdr:cNvPr id="113" name="U_off" descr="0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U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ABC_Click" textlink="">
      <xdr:nvSpPr>
        <xdr:cNvPr id="114" name="U_on" descr="0" hidden="1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U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'ABC_Click &quot;V&quot;'" textlink="">
      <xdr:nvSpPr>
        <xdr:cNvPr id="115" name="V_off" descr="0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V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ABC_Click" textlink="">
      <xdr:nvSpPr>
        <xdr:cNvPr id="116" name="V_on" descr="0" hidden="1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V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'ABC_Click &quot;W&quot;'" textlink="">
      <xdr:nvSpPr>
        <xdr:cNvPr id="117" name="W_off" descr="0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W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ABC_Click" textlink="">
      <xdr:nvSpPr>
        <xdr:cNvPr id="118" name="W_on" descr="0" hidden="1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W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'ABC_Click &quot;X&quot;'" textlink="">
      <xdr:nvSpPr>
        <xdr:cNvPr id="119" name="X_off" descr="0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X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ABC_Click" textlink="">
      <xdr:nvSpPr>
        <xdr:cNvPr id="120" name="X_on" descr="0" hidden="1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X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'ABC_Click &quot;Y&quot;'" textlink="">
      <xdr:nvSpPr>
        <xdr:cNvPr id="121" name="Y_off" descr="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Y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ABC_Click" textlink="">
      <xdr:nvSpPr>
        <xdr:cNvPr id="122" name="Y_on" descr="0" hidden="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Y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'ABC_Click &quot;Z&quot;'" textlink="">
      <xdr:nvSpPr>
        <xdr:cNvPr id="123" name="Z_off" descr="0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Z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ABC_Click" textlink="">
      <xdr:nvSpPr>
        <xdr:cNvPr id="124" name="Z_on" descr="0" hidden="1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Z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6" name="product_select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25" name="product_selectIcon" descr="L0">
            <a:extLst>
              <a:ext uri="{FF2B5EF4-FFF2-40B4-BE49-F238E27FC236}">
                <a16:creationId xmlns:a16="http://schemas.microsoft.com/office/drawing/2014/main" id="{00000000-0008-0000-0500-00007D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26" name="IconMain0.6961008">
            <a:extLst>
              <a:ext uri="{FF2B5EF4-FFF2-40B4-BE49-F238E27FC236}">
                <a16:creationId xmlns:a16="http://schemas.microsoft.com/office/drawing/2014/main" id="{00000000-0008-0000-0500-00007E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6191463" y="724112"/>
            <a:chExt cx="693569" cy="691961"/>
          </a:xfrm>
          <a:solidFill>
            <a:schemeClr val="bg1"/>
          </a:solidFill>
        </xdr:grpSpPr>
        <xdr:sp macro="" textlink="">
          <xdr:nvSpPr>
            <xdr:cNvPr id="127" name="Freeform: Shape 126">
              <a:extLst>
                <a:ext uri="{FF2B5EF4-FFF2-40B4-BE49-F238E27FC236}">
                  <a16:creationId xmlns:a16="http://schemas.microsoft.com/office/drawing/2014/main" id="{00000000-0008-0000-0500-00007F000000}"/>
                </a:ext>
              </a:extLst>
            </xdr:cNvPr>
            <xdr:cNvSpPr/>
          </xdr:nvSpPr>
          <xdr:spPr>
            <a:xfrm>
              <a:off x="6216979" y="765099"/>
              <a:ext cx="642938" cy="650974"/>
            </a:xfrm>
            <a:custGeom>
              <a:avLst/>
              <a:gdLst/>
              <a:ahLst/>
              <a:cxnLst/>
              <a:rect l="0" t="0" r="0" b="0"/>
              <a:pathLst>
                <a:path w="642937" h="650974">
                  <a:moveTo>
                    <a:pt x="567857" y="173053"/>
                  </a:moveTo>
                  <a:cubicBezTo>
                    <a:pt x="672334" y="55717"/>
                    <a:pt x="634562" y="14730"/>
                    <a:pt x="634562" y="14730"/>
                  </a:cubicBezTo>
                  <a:cubicBezTo>
                    <a:pt x="621703" y="1871"/>
                    <a:pt x="601611" y="1871"/>
                    <a:pt x="588752" y="14730"/>
                  </a:cubicBezTo>
                  <a:lnTo>
                    <a:pt x="284161" y="319321"/>
                  </a:lnTo>
                  <a:lnTo>
                    <a:pt x="18949" y="566852"/>
                  </a:lnTo>
                  <a:cubicBezTo>
                    <a:pt x="465" y="585337"/>
                    <a:pt x="465" y="615876"/>
                    <a:pt x="18949" y="635165"/>
                  </a:cubicBezTo>
                  <a:cubicBezTo>
                    <a:pt x="37434" y="653649"/>
                    <a:pt x="67973" y="653649"/>
                    <a:pt x="87261" y="635165"/>
                  </a:cubicBezTo>
                  <a:lnTo>
                    <a:pt x="329166" y="369953"/>
                  </a:lnTo>
                  <a:cubicBezTo>
                    <a:pt x="341222" y="375578"/>
                    <a:pt x="373368" y="391652"/>
                    <a:pt x="383012" y="381204"/>
                  </a:cubicBezTo>
                  <a:lnTo>
                    <a:pt x="567857" y="173053"/>
                  </a:ln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8" name="Freeform: Shape 127">
              <a:extLst>
                <a:ext uri="{FF2B5EF4-FFF2-40B4-BE49-F238E27FC236}">
                  <a16:creationId xmlns:a16="http://schemas.microsoft.com/office/drawing/2014/main" id="{00000000-0008-0000-0500-000080000000}"/>
                </a:ext>
              </a:extLst>
            </xdr:cNvPr>
            <xdr:cNvSpPr/>
          </xdr:nvSpPr>
          <xdr:spPr>
            <a:xfrm>
              <a:off x="6587673" y="1126751"/>
              <a:ext cx="297359" cy="289322"/>
            </a:xfrm>
            <a:custGeom>
              <a:avLst/>
              <a:gdLst/>
              <a:ahLst/>
              <a:cxnLst/>
              <a:rect l="0" t="0" r="0" b="0"/>
              <a:pathLst>
                <a:path w="297358" h="289321">
                  <a:moveTo>
                    <a:pt x="279138" y="205200"/>
                  </a:moveTo>
                  <a:lnTo>
                    <a:pt x="67772" y="5086"/>
                  </a:lnTo>
                  <a:lnTo>
                    <a:pt x="35625" y="41251"/>
                  </a:lnTo>
                  <a:cubicBezTo>
                    <a:pt x="30000" y="46877"/>
                    <a:pt x="20355" y="54110"/>
                    <a:pt x="5086" y="54913"/>
                  </a:cubicBezTo>
                  <a:lnTo>
                    <a:pt x="211629" y="273512"/>
                  </a:lnTo>
                  <a:cubicBezTo>
                    <a:pt x="230918" y="291997"/>
                    <a:pt x="261457" y="291997"/>
                    <a:pt x="279942" y="273512"/>
                  </a:cubicBezTo>
                  <a:cubicBezTo>
                    <a:pt x="297622" y="254224"/>
                    <a:pt x="297622" y="223684"/>
                    <a:pt x="279138" y="205200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9" name="Freeform: Shape 128">
              <a:extLst>
                <a:ext uri="{FF2B5EF4-FFF2-40B4-BE49-F238E27FC236}">
                  <a16:creationId xmlns:a16="http://schemas.microsoft.com/office/drawing/2014/main" id="{00000000-0008-0000-0500-000081000000}"/>
                </a:ext>
              </a:extLst>
            </xdr:cNvPr>
            <xdr:cNvSpPr/>
          </xdr:nvSpPr>
          <xdr:spPr>
            <a:xfrm>
              <a:off x="6191463" y="724112"/>
              <a:ext cx="345579" cy="345579"/>
            </a:xfrm>
            <a:custGeom>
              <a:avLst/>
              <a:gdLst/>
              <a:ahLst/>
              <a:cxnLst/>
              <a:rect l="0" t="0" r="0" b="0"/>
              <a:pathLst>
                <a:path w="345578" h="345578">
                  <a:moveTo>
                    <a:pt x="250206" y="344235"/>
                  </a:moveTo>
                  <a:cubicBezTo>
                    <a:pt x="250206" y="344235"/>
                    <a:pt x="264672" y="341021"/>
                    <a:pt x="280745" y="343432"/>
                  </a:cubicBezTo>
                  <a:lnTo>
                    <a:pt x="287175" y="337002"/>
                  </a:lnTo>
                  <a:lnTo>
                    <a:pt x="342628" y="281549"/>
                  </a:lnTo>
                  <a:cubicBezTo>
                    <a:pt x="340217" y="266279"/>
                    <a:pt x="343432" y="251009"/>
                    <a:pt x="343432" y="251009"/>
                  </a:cubicBezTo>
                  <a:cubicBezTo>
                    <a:pt x="349057" y="216451"/>
                    <a:pt x="335395" y="176268"/>
                    <a:pt x="294408" y="135281"/>
                  </a:cubicBezTo>
                  <a:cubicBezTo>
                    <a:pt x="226899" y="67772"/>
                    <a:pt x="130459" y="5086"/>
                    <a:pt x="130459" y="5086"/>
                  </a:cubicBezTo>
                  <a:lnTo>
                    <a:pt x="115992" y="19552"/>
                  </a:lnTo>
                  <a:lnTo>
                    <a:pt x="278334" y="181894"/>
                  </a:lnTo>
                  <a:cubicBezTo>
                    <a:pt x="283156" y="186716"/>
                    <a:pt x="283156" y="193949"/>
                    <a:pt x="278334" y="198771"/>
                  </a:cubicBezTo>
                  <a:cubicBezTo>
                    <a:pt x="273512" y="203593"/>
                    <a:pt x="266279" y="203593"/>
                    <a:pt x="261457" y="198771"/>
                  </a:cubicBezTo>
                  <a:lnTo>
                    <a:pt x="99115" y="36429"/>
                  </a:lnTo>
                  <a:lnTo>
                    <a:pt x="76613" y="58932"/>
                  </a:lnTo>
                  <a:lnTo>
                    <a:pt x="238954" y="221273"/>
                  </a:lnTo>
                  <a:cubicBezTo>
                    <a:pt x="243776" y="226096"/>
                    <a:pt x="243776" y="233329"/>
                    <a:pt x="238954" y="238151"/>
                  </a:cubicBezTo>
                  <a:cubicBezTo>
                    <a:pt x="234132" y="242973"/>
                    <a:pt x="226899" y="242973"/>
                    <a:pt x="222077" y="238151"/>
                  </a:cubicBezTo>
                  <a:lnTo>
                    <a:pt x="59735" y="75809"/>
                  </a:lnTo>
                  <a:lnTo>
                    <a:pt x="37233" y="98312"/>
                  </a:lnTo>
                  <a:lnTo>
                    <a:pt x="199574" y="260653"/>
                  </a:lnTo>
                  <a:cubicBezTo>
                    <a:pt x="204396" y="265475"/>
                    <a:pt x="204396" y="272708"/>
                    <a:pt x="199574" y="277531"/>
                  </a:cubicBezTo>
                  <a:cubicBezTo>
                    <a:pt x="194752" y="282353"/>
                    <a:pt x="187519" y="282353"/>
                    <a:pt x="182697" y="277531"/>
                  </a:cubicBezTo>
                  <a:lnTo>
                    <a:pt x="19552" y="115992"/>
                  </a:lnTo>
                  <a:lnTo>
                    <a:pt x="5086" y="130459"/>
                  </a:lnTo>
                  <a:cubicBezTo>
                    <a:pt x="5086" y="130459"/>
                    <a:pt x="73398" y="233329"/>
                    <a:pt x="134477" y="295211"/>
                  </a:cubicBezTo>
                  <a:cubicBezTo>
                    <a:pt x="175464" y="336199"/>
                    <a:pt x="215648" y="349861"/>
                    <a:pt x="250206" y="344235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8" name="product_save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31" name="product_saveIcon" descr="F0" hidden="1">
            <a:extLst>
              <a:ext uri="{FF2B5EF4-FFF2-40B4-BE49-F238E27FC236}">
                <a16:creationId xmlns:a16="http://schemas.microsoft.com/office/drawing/2014/main" id="{00000000-0008-0000-0500-000083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32" name="IconSave0.7344882" hidden="1">
            <a:extLst>
              <a:ext uri="{FF2B5EF4-FFF2-40B4-BE49-F238E27FC236}">
                <a16:creationId xmlns:a16="http://schemas.microsoft.com/office/drawing/2014/main" id="{00000000-0008-0000-0500-000084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376389" y="3221837"/>
            <a:chExt cx="272150" cy="244008"/>
          </a:xfrm>
        </xdr:grpSpPr>
        <xdr:sp macro="" textlink="">
          <xdr:nvSpPr>
            <xdr:cNvPr id="133" name="Freeform: Shape 132" hidden="1">
              <a:extLst>
                <a:ext uri="{FF2B5EF4-FFF2-40B4-BE49-F238E27FC236}">
                  <a16:creationId xmlns:a16="http://schemas.microsoft.com/office/drawing/2014/main" id="{00000000-0008-0000-0500-000085000000}"/>
                </a:ext>
              </a:extLst>
            </xdr:cNvPr>
            <xdr:cNvSpPr/>
          </xdr:nvSpPr>
          <xdr:spPr>
            <a:xfrm>
              <a:off x="456433" y="3258116"/>
              <a:ext cx="24012" cy="53578"/>
            </a:xfrm>
            <a:custGeom>
              <a:avLst/>
              <a:gdLst>
                <a:gd name="connsiteX0" fmla="*/ 1251 w 24013"/>
                <a:gd name="connsiteY0" fmla="*/ 1116 h 53578"/>
                <a:gd name="connsiteX1" fmla="*/ 25264 w 24013"/>
                <a:gd name="connsiteY1" fmla="*/ 1116 h 53578"/>
                <a:gd name="connsiteX2" fmla="*/ 25264 w 24013"/>
                <a:gd name="connsiteY2" fmla="*/ 54694 h 53578"/>
                <a:gd name="connsiteX3" fmla="*/ 1251 w 24013"/>
                <a:gd name="connsiteY3" fmla="*/ 54694 h 5357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53578">
                  <a:moveTo>
                    <a:pt x="1251" y="1116"/>
                  </a:moveTo>
                  <a:lnTo>
                    <a:pt x="25264" y="1116"/>
                  </a:lnTo>
                  <a:lnTo>
                    <a:pt x="25264" y="54694"/>
                  </a:lnTo>
                  <a:lnTo>
                    <a:pt x="1251" y="54694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4" name="Freeform: Shape 133" hidden="1">
              <a:extLst>
                <a:ext uri="{FF2B5EF4-FFF2-40B4-BE49-F238E27FC236}">
                  <a16:creationId xmlns:a16="http://schemas.microsoft.com/office/drawing/2014/main" id="{00000000-0008-0000-0500-000086000000}"/>
                </a:ext>
              </a:extLst>
            </xdr:cNvPr>
            <xdr:cNvSpPr/>
          </xdr:nvSpPr>
          <xdr:spPr>
            <a:xfrm>
              <a:off x="376389" y="3221837"/>
              <a:ext cx="272150" cy="244008"/>
            </a:xfrm>
            <a:custGeom>
              <a:avLst/>
              <a:gdLst>
                <a:gd name="connsiteX0" fmla="*/ 209366 w 272150"/>
                <a:gd name="connsiteY0" fmla="*/ 104701 h 242887"/>
                <a:gd name="connsiteX1" fmla="*/ 65286 w 272150"/>
                <a:gd name="connsiteY1" fmla="*/ 104701 h 242887"/>
                <a:gd name="connsiteX2" fmla="*/ 65286 w 272150"/>
                <a:gd name="connsiteY2" fmla="*/ 22547 h 242887"/>
                <a:gd name="connsiteX3" fmla="*/ 209366 w 272150"/>
                <a:gd name="connsiteY3" fmla="*/ 22547 h 242887"/>
                <a:gd name="connsiteX4" fmla="*/ 209366 w 272150"/>
                <a:gd name="connsiteY4" fmla="*/ 104701 h 242887"/>
                <a:gd name="connsiteX5" fmla="*/ 137326 w 272150"/>
                <a:gd name="connsiteY5" fmla="*/ 197569 h 242887"/>
                <a:gd name="connsiteX6" fmla="*/ 97304 w 272150"/>
                <a:gd name="connsiteY6" fmla="*/ 161851 h 242887"/>
                <a:gd name="connsiteX7" fmla="*/ 137326 w 272150"/>
                <a:gd name="connsiteY7" fmla="*/ 126132 h 242887"/>
                <a:gd name="connsiteX8" fmla="*/ 177348 w 272150"/>
                <a:gd name="connsiteY8" fmla="*/ 161851 h 242887"/>
                <a:gd name="connsiteX9" fmla="*/ 137326 w 272150"/>
                <a:gd name="connsiteY9" fmla="*/ 197569 h 242887"/>
                <a:gd name="connsiteX10" fmla="*/ 257392 w 272150"/>
                <a:gd name="connsiteY10" fmla="*/ 1116 h 242887"/>
                <a:gd name="connsiteX11" fmla="*/ 209366 w 272150"/>
                <a:gd name="connsiteY11" fmla="*/ 1116 h 242887"/>
                <a:gd name="connsiteX12" fmla="*/ 65286 w 272150"/>
                <a:gd name="connsiteY12" fmla="*/ 1116 h 242887"/>
                <a:gd name="connsiteX13" fmla="*/ 41273 w 272150"/>
                <a:gd name="connsiteY13" fmla="*/ 1116 h 242887"/>
                <a:gd name="connsiteX14" fmla="*/ 1251 w 272150"/>
                <a:gd name="connsiteY14" fmla="*/ 36835 h 242887"/>
                <a:gd name="connsiteX15" fmla="*/ 1251 w 272150"/>
                <a:gd name="connsiteY15" fmla="*/ 229716 h 242887"/>
                <a:gd name="connsiteX16" fmla="*/ 17260 w 272150"/>
                <a:gd name="connsiteY16" fmla="*/ 244004 h 242887"/>
                <a:gd name="connsiteX17" fmla="*/ 257392 w 272150"/>
                <a:gd name="connsiteY17" fmla="*/ 244004 h 242887"/>
                <a:gd name="connsiteX18" fmla="*/ 273401 w 272150"/>
                <a:gd name="connsiteY18" fmla="*/ 229716 h 242887"/>
                <a:gd name="connsiteX19" fmla="*/ 273401 w 272150"/>
                <a:gd name="connsiteY19" fmla="*/ 15404 h 242887"/>
                <a:gd name="connsiteX20" fmla="*/ 257392 w 272150"/>
                <a:gd name="connsiteY20" fmla="*/ 1116 h 24288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272150" h="242887">
                  <a:moveTo>
                    <a:pt x="209366" y="104701"/>
                  </a:moveTo>
                  <a:lnTo>
                    <a:pt x="65286" y="104701"/>
                  </a:lnTo>
                  <a:lnTo>
                    <a:pt x="65286" y="22547"/>
                  </a:lnTo>
                  <a:lnTo>
                    <a:pt x="209366" y="22547"/>
                  </a:lnTo>
                  <a:lnTo>
                    <a:pt x="209366" y="104701"/>
                  </a:lnTo>
                  <a:close/>
                  <a:moveTo>
                    <a:pt x="137326" y="197569"/>
                  </a:moveTo>
                  <a:cubicBezTo>
                    <a:pt x="115314" y="197569"/>
                    <a:pt x="97304" y="181496"/>
                    <a:pt x="97304" y="161851"/>
                  </a:cubicBezTo>
                  <a:cubicBezTo>
                    <a:pt x="97304" y="142205"/>
                    <a:pt x="115314" y="126132"/>
                    <a:pt x="137326" y="126132"/>
                  </a:cubicBezTo>
                  <a:cubicBezTo>
                    <a:pt x="159338" y="126132"/>
                    <a:pt x="177348" y="142205"/>
                    <a:pt x="177348" y="161851"/>
                  </a:cubicBezTo>
                  <a:cubicBezTo>
                    <a:pt x="177348" y="181496"/>
                    <a:pt x="159338" y="197569"/>
                    <a:pt x="137326" y="197569"/>
                  </a:cubicBezTo>
                  <a:close/>
                  <a:moveTo>
                    <a:pt x="257392" y="1116"/>
                  </a:moveTo>
                  <a:lnTo>
                    <a:pt x="209366" y="1116"/>
                  </a:lnTo>
                  <a:lnTo>
                    <a:pt x="65286" y="1116"/>
                  </a:lnTo>
                  <a:lnTo>
                    <a:pt x="41273" y="1116"/>
                  </a:lnTo>
                  <a:lnTo>
                    <a:pt x="1251" y="36835"/>
                  </a:lnTo>
                  <a:lnTo>
                    <a:pt x="1251" y="229716"/>
                  </a:lnTo>
                  <a:cubicBezTo>
                    <a:pt x="1251" y="237574"/>
                    <a:pt x="8455" y="244004"/>
                    <a:pt x="17260" y="244004"/>
                  </a:cubicBezTo>
                  <a:lnTo>
                    <a:pt x="257392" y="244004"/>
                  </a:lnTo>
                  <a:cubicBezTo>
                    <a:pt x="266197" y="244004"/>
                    <a:pt x="273401" y="237574"/>
                    <a:pt x="273401" y="229716"/>
                  </a:cubicBezTo>
                  <a:lnTo>
                    <a:pt x="273401" y="15404"/>
                  </a:lnTo>
                  <a:cubicBezTo>
                    <a:pt x="273401" y="7546"/>
                    <a:pt x="266197" y="1116"/>
                    <a:pt x="257392" y="1116"/>
                  </a:cubicBez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5" name="Freeform: Shape 134" hidden="1">
              <a:extLst>
                <a:ext uri="{FF2B5EF4-FFF2-40B4-BE49-F238E27FC236}">
                  <a16:creationId xmlns:a16="http://schemas.microsoft.com/office/drawing/2014/main" id="{00000000-0008-0000-0500-000087000000}"/>
                </a:ext>
              </a:extLst>
            </xdr:cNvPr>
            <xdr:cNvSpPr/>
          </xdr:nvSpPr>
          <xdr:spPr>
            <a:xfrm>
              <a:off x="500457" y="3372416"/>
              <a:ext cx="24014" cy="21431"/>
            </a:xfrm>
            <a:custGeom>
              <a:avLst/>
              <a:gdLst>
                <a:gd name="connsiteX0" fmla="*/ 1251 w 24013"/>
                <a:gd name="connsiteY0" fmla="*/ 1116 h 21431"/>
                <a:gd name="connsiteX1" fmla="*/ 25264 w 24013"/>
                <a:gd name="connsiteY1" fmla="*/ 1116 h 21431"/>
                <a:gd name="connsiteX2" fmla="*/ 25264 w 24013"/>
                <a:gd name="connsiteY2" fmla="*/ 22547 h 21431"/>
                <a:gd name="connsiteX3" fmla="*/ 1251 w 24013"/>
                <a:gd name="connsiteY3" fmla="*/ 22547 h 214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21431">
                  <a:moveTo>
                    <a:pt x="1251" y="1116"/>
                  </a:moveTo>
                  <a:lnTo>
                    <a:pt x="25264" y="1116"/>
                  </a:lnTo>
                  <a:lnTo>
                    <a:pt x="25264" y="22547"/>
                  </a:lnTo>
                  <a:lnTo>
                    <a:pt x="1251" y="22547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Form" textlink="">
      <xdr:nvSpPr>
        <xdr:cNvPr id="137" name="product_productadd" descr="0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List" textlink="">
      <xdr:nvSpPr>
        <xdr:cNvPr id="138" name="product_listreturn" descr="0" hidden="1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GroupAdd" textlink="">
      <xdr:nvSpPr>
        <xdr:cNvPr id="139" name="product_productgroupadd" descr="0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Form" textlink="">
      <xdr:nvSpPr>
        <xdr:cNvPr id="140" name="product_productaddreturn" descr="0" hidden="1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5</xdr:col>
      <xdr:colOff>4892673</xdr:colOff>
      <xdr:row>3</xdr:row>
      <xdr:rowOff>0</xdr:rowOff>
    </xdr:from>
    <xdr:to>
      <xdr:col>6</xdr:col>
      <xdr:colOff>733422</xdr:colOff>
      <xdr:row>3</xdr:row>
      <xdr:rowOff>203200</xdr:rowOff>
    </xdr:to>
    <xdr:sp macro="ProductChange" textlink="">
      <xdr:nvSpPr>
        <xdr:cNvPr id="141" name="product_productchange" descr="0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SpPr>
          <a:spLocks noChangeAspect="1"/>
        </xdr:cNvSpPr>
      </xdr:nvSpPr>
      <xdr:spPr>
        <a:xfrm>
          <a:off x="8016873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7</xdr:col>
      <xdr:colOff>76197</xdr:colOff>
      <xdr:row>3</xdr:row>
      <xdr:rowOff>0</xdr:rowOff>
    </xdr:from>
    <xdr:to>
      <xdr:col>8</xdr:col>
      <xdr:colOff>117471</xdr:colOff>
      <xdr:row>3</xdr:row>
      <xdr:rowOff>203200</xdr:rowOff>
    </xdr:to>
    <xdr:sp macro="ProductGroupChange" textlink="">
      <xdr:nvSpPr>
        <xdr:cNvPr id="142" name="product_productgroupchange" descr="0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SpPr>
          <a:spLocks noChangeAspect="1"/>
        </xdr:cNvSpPr>
      </xdr:nvSpPr>
      <xdr:spPr>
        <a:xfrm>
          <a:off x="9096372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5</xdr:col>
      <xdr:colOff>3895723</xdr:colOff>
      <xdr:row>0</xdr:row>
      <xdr:rowOff>0</xdr:rowOff>
    </xdr:from>
    <xdr:to>
      <xdr:col>5</xdr:col>
      <xdr:colOff>4784722</xdr:colOff>
      <xdr:row>1</xdr:row>
      <xdr:rowOff>12700</xdr:rowOff>
    </xdr:to>
    <xdr:sp macro="" textlink="">
      <xdr:nvSpPr>
        <xdr:cNvPr id="143" name="product_selecttitle" descr="0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SpPr>
          <a:spLocks noChangeAspect="1"/>
        </xdr:cNvSpPr>
      </xdr:nvSpPr>
      <xdr:spPr>
        <a:xfrm>
          <a:off x="7019923" y="0"/>
          <a:ext cx="888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выбрать</a:t>
          </a:r>
        </a:p>
      </xdr:txBody>
    </xdr:sp>
    <xdr:clientData/>
  </xdr:twoCellAnchor>
  <xdr:twoCellAnchor editAs="absolute">
    <xdr:from>
      <xdr:col>5</xdr:col>
      <xdr:colOff>4981572</xdr:colOff>
      <xdr:row>0</xdr:row>
      <xdr:rowOff>0</xdr:rowOff>
    </xdr:from>
    <xdr:to>
      <xdr:col>6</xdr:col>
      <xdr:colOff>644521</xdr:colOff>
      <xdr:row>1</xdr:row>
      <xdr:rowOff>12700</xdr:rowOff>
    </xdr:to>
    <xdr:sp macro="" textlink="">
      <xdr:nvSpPr>
        <xdr:cNvPr id="144" name="product_producttitle" descr="0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SpPr>
          <a:spLocks noChangeAspect="1"/>
        </xdr:cNvSpPr>
      </xdr:nvSpPr>
      <xdr:spPr>
        <a:xfrm>
          <a:off x="8105772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продукт</a:t>
          </a:r>
        </a:p>
      </xdr:txBody>
    </xdr:sp>
    <xdr:clientData/>
  </xdr:twoCellAnchor>
  <xdr:twoCellAnchor editAs="absolute">
    <xdr:from>
      <xdr:col>7</xdr:col>
      <xdr:colOff>165096</xdr:colOff>
      <xdr:row>0</xdr:row>
      <xdr:rowOff>0</xdr:rowOff>
    </xdr:from>
    <xdr:to>
      <xdr:col>8</xdr:col>
      <xdr:colOff>28570</xdr:colOff>
      <xdr:row>1</xdr:row>
      <xdr:rowOff>12700</xdr:rowOff>
    </xdr:to>
    <xdr:sp macro="" textlink="">
      <xdr:nvSpPr>
        <xdr:cNvPr id="145" name="product_grouptitle" descr="0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SpPr>
          <a:spLocks noChangeAspect="1"/>
        </xdr:cNvSpPr>
      </xdr:nvSpPr>
      <xdr:spPr>
        <a:xfrm>
          <a:off x="9185271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виды</a:t>
          </a:r>
        </a:p>
      </xdr:txBody>
    </xdr:sp>
    <xdr:clientData/>
  </xdr:twoCellAnchor>
  <xdr:twoCellAnchor editAs="absolute">
    <xdr:from>
      <xdr:col>5</xdr:col>
      <xdr:colOff>3978273</xdr:colOff>
      <xdr:row>4</xdr:row>
      <xdr:rowOff>69850</xdr:rowOff>
    </xdr:from>
    <xdr:to>
      <xdr:col>8</xdr:col>
      <xdr:colOff>155571</xdr:colOff>
      <xdr:row>4</xdr:row>
      <xdr:rowOff>69850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CxnSpPr/>
      </xdr:nvCxnSpPr>
      <xdr:spPr>
        <a:xfrm>
          <a:off x="7102473" y="8509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3978273</xdr:colOff>
      <xdr:row>1</xdr:row>
      <xdr:rowOff>38100</xdr:rowOff>
    </xdr:from>
    <xdr:to>
      <xdr:col>8</xdr:col>
      <xdr:colOff>155571</xdr:colOff>
      <xdr:row>1</xdr:row>
      <xdr:rowOff>38100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CxnSpPr/>
      </xdr:nvCxnSpPr>
      <xdr:spPr>
        <a:xfrm>
          <a:off x="7102473" y="2286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0</xdr:colOff>
      <xdr:row>0</xdr:row>
      <xdr:rowOff>63500</xdr:rowOff>
    </xdr:from>
    <xdr:to>
      <xdr:col>62</xdr:col>
      <xdr:colOff>571500</xdr:colOff>
      <xdr:row>2</xdr:row>
      <xdr:rowOff>63500</xdr:rowOff>
    </xdr:to>
    <xdr:sp macro="" textlink="">
      <xdr:nvSpPr>
        <xdr:cNvPr id="148" name="product_product" descr="0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>
          <a:spLocks noChangeAspect="1"/>
        </xdr:cNvSpPr>
      </xdr:nvSpPr>
      <xdr:spPr>
        <a:xfrm>
          <a:off x="39138225" y="635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ИЗМЕНИТЬ ПРОДУКТ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25400</xdr:colOff>
      <xdr:row>1</xdr:row>
      <xdr:rowOff>23812</xdr:rowOff>
    </xdr:to>
    <xdr:sp macro="ABC_Click" textlink="">
      <xdr:nvSpPr>
        <xdr:cNvPr id="7" name="Oon" hidden="1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0" y="0"/>
          <a:ext cx="355600" cy="1778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AFAFA"/>
              </a:solidFill>
            </a:rPr>
            <a:t>O</a:t>
          </a:r>
          <a:endParaRPr lang="uk-UA" sz="10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39687</xdr:colOff>
      <xdr:row>1</xdr:row>
      <xdr:rowOff>14287</xdr:rowOff>
    </xdr:to>
    <xdr:sp macro="" textlink="">
      <xdr:nvSpPr>
        <xdr:cNvPr id="60958" name="Rectangle 60957">
          <a:extLst>
            <a:ext uri="{FF2B5EF4-FFF2-40B4-BE49-F238E27FC236}">
              <a16:creationId xmlns:a16="http://schemas.microsoft.com/office/drawing/2014/main" id="{00000000-0008-0000-0600-00001EEE0000}"/>
            </a:ext>
          </a:extLst>
        </xdr:cNvPr>
        <xdr:cNvSpPr>
          <a:spLocks noChangeAspect="1"/>
        </xdr:cNvSpPr>
      </xdr:nvSpPr>
      <xdr:spPr>
        <a:xfrm>
          <a:off x="0" y="0"/>
          <a:ext cx="3810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uk-UA" sz="11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82550</xdr:colOff>
      <xdr:row>1</xdr:row>
      <xdr:rowOff>14287</xdr:rowOff>
    </xdr:to>
    <xdr:sp macro="" textlink="">
      <xdr:nvSpPr>
        <xdr:cNvPr id="61118" name="Rectangle 61117">
          <a:extLst>
            <a:ext uri="{FF2B5EF4-FFF2-40B4-BE49-F238E27FC236}">
              <a16:creationId xmlns:a16="http://schemas.microsoft.com/office/drawing/2014/main" id="{00000000-0008-0000-0600-0000BEEE0000}"/>
            </a:ext>
          </a:extLst>
        </xdr:cNvPr>
        <xdr:cNvSpPr>
          <a:spLocks noChangeAspect="1"/>
        </xdr:cNvSpPr>
      </xdr:nvSpPr>
      <xdr:spPr>
        <a:xfrm>
          <a:off x="0" y="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293687</xdr:colOff>
      <xdr:row>1</xdr:row>
      <xdr:rowOff>14287</xdr:rowOff>
    </xdr:to>
    <xdr:sp macro="ResetAlphabet" textlink="">
      <xdr:nvSpPr>
        <xdr:cNvPr id="63090" name="Reset" descr="0">
          <a:extLst>
            <a:ext uri="{FF2B5EF4-FFF2-40B4-BE49-F238E27FC236}">
              <a16:creationId xmlns:a16="http://schemas.microsoft.com/office/drawing/2014/main" id="{00000000-0008-0000-0600-000072F60000}"/>
            </a:ext>
          </a:extLst>
        </xdr:cNvPr>
        <xdr:cNvSpPr>
          <a:spLocks noChangeAspect="1"/>
        </xdr:cNvSpPr>
      </xdr:nvSpPr>
      <xdr:spPr>
        <a:xfrm>
          <a:off x="0" y="0"/>
          <a:ext cx="889000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101600</xdr:colOff>
      <xdr:row>1</xdr:row>
      <xdr:rowOff>52387</xdr:rowOff>
    </xdr:to>
    <xdr:sp macro="" textlink="">
      <xdr:nvSpPr>
        <xdr:cNvPr id="12" name="Прямокутник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0" y="0"/>
          <a:ext cx="203200" cy="203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uk-UA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432D47B-D5FC-41DD-920F-02394D015840}" name="producttype_list" displayName="producttype_list" ref="C10:E15" totalsRowShown="0" headerRowDxfId="19" dataDxfId="18">
  <autoFilter ref="C10:E15" xr:uid="{9AB2E05D-F962-4437-8C25-968A8D81A33B}"/>
  <tableColumns count="3">
    <tableColumn id="1" xr3:uid="{E40585C6-AA1E-4378-8FA1-013B81035C47}" name="_" dataDxfId="17"/>
    <tableColumn id="2" xr3:uid="{A3FBC16F-3351-4DA9-87C2-02BC6B91C1DA}" name="код" dataDxfId="16"/>
    <tableColumn id="3" xr3:uid="{FFB792C0-5B37-4255-9E32-C44CFECBDBC7}" name="вид продукта" dataDxfId="15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B61BE02-398C-4C92-B2AA-C8A7AB66EA4D}" name="measure_list" displayName="measure_list" ref="BE7:BI12" totalsRowShown="0" headerRowDxfId="14" dataDxfId="13">
  <autoFilter ref="BE7:BI12" xr:uid="{34B5A344-0BF3-48AE-95FB-6F5F149C5948}"/>
  <tableColumns count="5">
    <tableColumn id="1" xr3:uid="{AE8DAC00-3810-4D27-B40A-AC73F0E5B4EE}" name="_" dataDxfId="12"/>
    <tableColumn id="2" xr3:uid="{3C2D66EB-EC31-498F-96AA-40CB5F82FA9C}" name="код" dataDxfId="11"/>
    <tableColumn id="3" xr3:uid="{B1E919FF-7FB3-4EE9-B08D-D92643AECAA5}" name="сокращение" dataDxfId="10"/>
    <tableColumn id="4" xr3:uid="{BAC6E472-EA17-4306-A3A6-6BDA06BEECD1}" name="полное наименование" dataDxfId="9"/>
    <tableColumn id="5" xr3:uid="{0DEBBC26-A2CF-4390-80BC-FBD5AA2B9B3A}" name="примечание" dataDxfId="8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6CC4D7-A414-476F-9253-E45A35EC0041}" name="product_listproduct" displayName="product_listproduct" ref="C10:H13" totalsRowShown="0" headerRowDxfId="7" dataDxfId="6">
  <autoFilter ref="C10:H13" xr:uid="{414E3600-3D03-4018-AD17-DE9E33487358}"/>
  <tableColumns count="6">
    <tableColumn id="1" xr3:uid="{F4B6389B-D552-4C24-9018-71D1B1A7DC32}" name="_" dataDxfId="5"/>
    <tableColumn id="2" xr3:uid="{E67CFB2F-7B06-4FF2-A236-86E785957E4A}" name="код" dataDxfId="4"/>
    <tableColumn id="3" xr3:uid="{A4C25AD8-E510-4C1A-8D1C-F8C6AF29BB35}" name="вид" dataDxfId="3"/>
    <tableColumn id="4" xr3:uid="{5D3BF8DD-0D7A-4378-8A93-C1D835FFDA40}" name="продукт" dataDxfId="2"/>
    <tableColumn id="5" xr3:uid="{8388628F-AB67-437A-A1BD-54B5DB9FDF39}" name="ед.изм." dataDxfId="1"/>
    <tableColumn id="6" xr3:uid="{BAFFFE42-3F65-4CE5-823E-F032ADAC93F2}" name="остаток" dataDxfId="0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2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DF3A-D404-4DA0-9CA3-1402987BF180}">
  <sheetPr codeName="Аркуш7"/>
  <dimension ref="A7:CI15"/>
  <sheetViews>
    <sheetView topLeftCell="B1" workbookViewId="0">
      <selection activeCell="E7" sqref="E7"/>
    </sheetView>
  </sheetViews>
  <sheetFormatPr defaultColWidth="10.7109375" defaultRowHeight="15"/>
  <cols>
    <col min="1" max="1" width="10.7109375" style="3" hidden="1" customWidth="1"/>
    <col min="2" max="2" width="2.7109375" style="3" customWidth="1"/>
    <col min="3" max="3" width="3.7109375" style="3" customWidth="1"/>
    <col min="4" max="4" width="9.7109375" style="3" customWidth="1"/>
    <col min="5" max="5" width="90.7109375" style="3" customWidth="1"/>
    <col min="6" max="56" width="10.7109375" style="3" customWidth="1"/>
    <col min="57" max="57" width="3.7109375" style="3" customWidth="1"/>
    <col min="58" max="58" width="9.7109375" style="3" customWidth="1"/>
    <col min="59" max="59" width="18.7109375" style="3" customWidth="1"/>
    <col min="60" max="60" width="45.7109375" style="3" customWidth="1"/>
    <col min="61" max="61" width="15.7109375" style="3" customWidth="1"/>
    <col min="62" max="87" width="10.7109375" style="3" hidden="1" customWidth="1"/>
    <col min="88" max="16384" width="10.7109375" style="3"/>
  </cols>
  <sheetData>
    <row r="7" spans="3:61" ht="15.75" thickBot="1">
      <c r="C7" s="12" t="s">
        <v>18</v>
      </c>
      <c r="E7" s="16"/>
      <c r="BE7" s="17" t="s">
        <v>19</v>
      </c>
      <c r="BF7" s="17" t="s">
        <v>20</v>
      </c>
      <c r="BG7" s="17" t="s">
        <v>24</v>
      </c>
      <c r="BH7" s="17" t="s">
        <v>22</v>
      </c>
      <c r="BI7" s="17" t="s">
        <v>23</v>
      </c>
    </row>
    <row r="8" spans="3:61">
      <c r="BE8" s="18"/>
      <c r="BF8" s="18"/>
      <c r="BG8" s="18"/>
      <c r="BH8" s="18"/>
      <c r="BI8" s="18"/>
    </row>
    <row r="9" spans="3:61">
      <c r="BE9" s="18"/>
      <c r="BF9" s="18"/>
      <c r="BG9" s="18"/>
      <c r="BH9" s="18"/>
      <c r="BI9" s="18"/>
    </row>
    <row r="10" spans="3:61">
      <c r="C10" s="17" t="s">
        <v>19</v>
      </c>
      <c r="D10" s="19" t="s">
        <v>20</v>
      </c>
      <c r="E10" s="17" t="s">
        <v>21</v>
      </c>
      <c r="BE10" s="18"/>
      <c r="BF10" s="18"/>
      <c r="BG10" s="18"/>
      <c r="BH10" s="18"/>
      <c r="BI10" s="18"/>
    </row>
    <row r="11" spans="3:61">
      <c r="C11" s="18"/>
      <c r="D11" s="18"/>
      <c r="E11" s="18"/>
      <c r="BE11" s="18"/>
      <c r="BF11" s="18"/>
      <c r="BG11" s="18"/>
      <c r="BH11" s="18"/>
      <c r="BI11" s="18"/>
    </row>
    <row r="12" spans="3:61">
      <c r="C12" s="18"/>
      <c r="D12" s="18"/>
      <c r="E12" s="18"/>
      <c r="BE12" s="18"/>
      <c r="BF12" s="18"/>
      <c r="BG12" s="18"/>
      <c r="BH12" s="18"/>
      <c r="BI12" s="18"/>
    </row>
    <row r="13" spans="3:61">
      <c r="C13" s="18"/>
      <c r="D13" s="18"/>
      <c r="E13" s="18"/>
    </row>
    <row r="14" spans="3:61">
      <c r="C14" s="18"/>
      <c r="D14" s="18"/>
      <c r="E14" s="18"/>
    </row>
    <row r="15" spans="3:61">
      <c r="C15" s="18"/>
      <c r="D15" s="18"/>
      <c r="E15" s="18"/>
    </row>
  </sheetData>
  <pageMargins left="0.7" right="0.7" top="0.75" bottom="0.75" header="0.3" footer="0.3"/>
  <customProperties>
    <customPr name="справочники" r:id="rId1"/>
  </customProperties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70F58-2973-42A3-B796-666998E4350F}">
  <sheetPr codeName="Sheet34"/>
  <dimension ref="A1:E9"/>
  <sheetViews>
    <sheetView workbookViewId="0">
      <selection activeCell="C9" sqref="C9"/>
    </sheetView>
  </sheetViews>
  <sheetFormatPr defaultRowHeight="15"/>
  <cols>
    <col min="2" max="2" width="13.7109375" customWidth="1"/>
  </cols>
  <sheetData>
    <row r="1" spans="1:5">
      <c r="A1" t="s">
        <v>37</v>
      </c>
      <c r="B1" t="s">
        <v>38</v>
      </c>
      <c r="C1">
        <v>13</v>
      </c>
      <c r="D1" s="9">
        <f>(13-12)/13</f>
        <v>7.6923076923076927E-2</v>
      </c>
      <c r="E1">
        <f>ROUND(C1/(100%+$D$5),)</f>
        <v>12</v>
      </c>
    </row>
    <row r="2" spans="1:5">
      <c r="B2" t="s">
        <v>39</v>
      </c>
      <c r="C2">
        <v>25</v>
      </c>
      <c r="D2" s="9">
        <f>(25-22)/25</f>
        <v>0.12</v>
      </c>
      <c r="E2">
        <f>ROUND(C2/(100%+$D$5),)</f>
        <v>22</v>
      </c>
    </row>
    <row r="3" spans="1:5">
      <c r="B3" t="s">
        <v>40</v>
      </c>
      <c r="C3">
        <v>12</v>
      </c>
      <c r="D3" s="9">
        <f>(12-11)/12</f>
        <v>8.3333333333333329E-2</v>
      </c>
      <c r="E3">
        <f>ROUND(C3/(100%+$D$5),)</f>
        <v>11</v>
      </c>
    </row>
    <row r="5" spans="1:5">
      <c r="D5" s="10">
        <v>0.12</v>
      </c>
    </row>
    <row r="7" spans="1:5">
      <c r="B7" t="s">
        <v>41</v>
      </c>
    </row>
    <row r="8" spans="1:5">
      <c r="B8" t="s">
        <v>42</v>
      </c>
    </row>
    <row r="9" spans="1:5">
      <c r="B9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2EA5B-ED76-40C0-AD63-788E59455D90}">
  <sheetPr codeName="Sheet1"/>
  <dimension ref="A1"/>
  <sheetViews>
    <sheetView workbookViewId="0">
      <selection activeCell="F31" sqref="F31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2AFA-A610-4FBF-A626-2366D76EF10A}">
  <sheetPr codeName="Аркуш35"/>
  <dimension ref="C12:C25"/>
  <sheetViews>
    <sheetView workbookViewId="0">
      <selection activeCell="G19" sqref="G19"/>
    </sheetView>
  </sheetViews>
  <sheetFormatPr defaultColWidth="3.5703125" defaultRowHeight="15"/>
  <cols>
    <col min="1" max="16384" width="3.5703125" style="25"/>
  </cols>
  <sheetData>
    <row r="12" spans="3:3" s="23" customFormat="1" ht="12">
      <c r="C12" s="24"/>
    </row>
    <row r="13" spans="3:3" s="23" customFormat="1" ht="12"/>
    <row r="14" spans="3:3" s="23" customFormat="1" ht="12"/>
    <row r="15" spans="3:3" s="23" customFormat="1" ht="12"/>
    <row r="16" spans="3:3" s="23" customFormat="1" ht="12"/>
    <row r="17" s="23" customFormat="1" ht="12"/>
    <row r="18" s="23" customFormat="1" ht="12"/>
    <row r="19" s="23" customFormat="1" ht="12"/>
    <row r="20" s="23" customFormat="1" ht="12"/>
    <row r="21" s="23" customFormat="1" ht="12"/>
    <row r="22" s="23" customFormat="1" ht="12"/>
    <row r="23" s="23" customFormat="1" ht="12"/>
    <row r="24" s="23" customFormat="1" ht="12"/>
    <row r="25" s="23" customFormat="1" ht="12"/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24EED-A9C5-4DBB-9F42-368186223E84}">
  <sheetPr codeName="Sheet7"/>
  <dimension ref="A1"/>
  <sheetViews>
    <sheetView showGridLines="0" topLeftCell="B1" workbookViewId="0">
      <selection activeCell="A2" sqref="A2"/>
    </sheetView>
  </sheetViews>
  <sheetFormatPr defaultRowHeight="15"/>
  <cols>
    <col min="1" max="1" width="0" hidden="1" customWidth="1"/>
  </cols>
  <sheetData/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F4F29-CAB8-422B-BEE5-8D3E3242FF38}">
  <dimension ref="B2:F16"/>
  <sheetViews>
    <sheetView tabSelected="1" workbookViewId="0"/>
  </sheetViews>
  <sheetFormatPr defaultRowHeight="12"/>
  <cols>
    <col min="1" max="1" width="4.7109375" style="30" customWidth="1"/>
    <col min="2" max="2" width="14.140625" style="30" bestFit="1" customWidth="1"/>
    <col min="3" max="3" width="12" style="30" bestFit="1" customWidth="1"/>
    <col min="4" max="4" width="5" style="30" bestFit="1" customWidth="1"/>
    <col min="5" max="5" width="4" style="30" bestFit="1" customWidth="1"/>
    <col min="6" max="6" width="9" style="30" bestFit="1" customWidth="1"/>
    <col min="7" max="16384" width="9.140625" style="30"/>
  </cols>
  <sheetData>
    <row r="2" spans="2:6">
      <c r="B2" s="31" t="s">
        <v>30</v>
      </c>
      <c r="C2" s="31" t="s">
        <v>32</v>
      </c>
    </row>
    <row r="3" spans="2:6">
      <c r="B3" s="30" t="s">
        <v>31</v>
      </c>
    </row>
    <row r="4" spans="2:6">
      <c r="B4" s="30" t="s">
        <v>54</v>
      </c>
      <c r="C4" s="30">
        <v>2179206637392</v>
      </c>
    </row>
    <row r="5" spans="2:6">
      <c r="B5" s="30" t="s">
        <v>55</v>
      </c>
      <c r="C5" s="30" t="s">
        <v>66</v>
      </c>
    </row>
    <row r="6" spans="2:6">
      <c r="B6" s="30" t="s">
        <v>56</v>
      </c>
      <c r="C6" s="30" t="s">
        <v>67</v>
      </c>
    </row>
    <row r="7" spans="2:6">
      <c r="B7" s="30" t="s">
        <v>57</v>
      </c>
      <c r="C7" s="30" t="b">
        <v>1</v>
      </c>
    </row>
    <row r="8" spans="2:6">
      <c r="B8" s="30" t="s">
        <v>58</v>
      </c>
      <c r="C8" s="30" t="b">
        <v>0</v>
      </c>
    </row>
    <row r="9" spans="2:6">
      <c r="B9" s="30" t="s">
        <v>59</v>
      </c>
      <c r="C9" s="30" t="b">
        <v>0</v>
      </c>
    </row>
    <row r="10" spans="2:6">
      <c r="B10" s="30" t="s">
        <v>60</v>
      </c>
      <c r="C10" s="30" t="b">
        <v>1</v>
      </c>
    </row>
    <row r="12" spans="2:6">
      <c r="B12" s="31" t="s">
        <v>61</v>
      </c>
      <c r="C12" s="31" t="s">
        <v>32</v>
      </c>
      <c r="D12" s="31" t="s">
        <v>62</v>
      </c>
      <c r="E12" s="31" t="s">
        <v>63</v>
      </c>
      <c r="F12" s="31" t="s">
        <v>64</v>
      </c>
    </row>
    <row r="13" spans="2:6">
      <c r="B13" s="30">
        <v>1</v>
      </c>
      <c r="C13" s="30" t="s">
        <v>65</v>
      </c>
    </row>
    <row r="14" spans="2:6">
      <c r="B14" s="30">
        <v>2</v>
      </c>
      <c r="C14" s="30" t="s">
        <v>4</v>
      </c>
    </row>
    <row r="15" spans="2:6">
      <c r="B15" s="30">
        <v>3</v>
      </c>
      <c r="C15" s="30" t="s">
        <v>5</v>
      </c>
    </row>
    <row r="16" spans="2:6">
      <c r="B16" s="30">
        <v>4</v>
      </c>
      <c r="C16" s="30" t="s">
        <v>17</v>
      </c>
    </row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F1BBD-5062-4A9B-B821-10C0298ED8CE}">
  <sheetPr codeName="Sheet9"/>
  <dimension ref="C4:CI17"/>
  <sheetViews>
    <sheetView showRuler="0" topLeftCell="B1" workbookViewId="0">
      <selection activeCell="F5" sqref="F5"/>
    </sheetView>
  </sheetViews>
  <sheetFormatPr defaultRowHeight="15"/>
  <cols>
    <col min="1" max="1" width="0" style="3" hidden="1" customWidth="1"/>
    <col min="2" max="2" width="2.7109375" style="3" customWidth="1"/>
    <col min="3" max="3" width="5.7109375" style="3" customWidth="1"/>
    <col min="4" max="4" width="7.7109375" style="3" customWidth="1"/>
    <col min="5" max="5" width="30.7109375" style="3" customWidth="1"/>
    <col min="6" max="6" width="75.7109375" style="3" customWidth="1"/>
    <col min="7" max="8" width="12.7109375" style="3" customWidth="1"/>
    <col min="9" max="56" width="9.140625" style="3" customWidth="1"/>
    <col min="57" max="57" width="0.140625" style="3" hidden="1" customWidth="1"/>
    <col min="58" max="58" width="14.7109375" style="3" hidden="1" customWidth="1"/>
    <col min="59" max="59" width="10.7109375" style="3" hidden="1" customWidth="1"/>
    <col min="60" max="62" width="7.7109375" style="3" hidden="1" customWidth="1"/>
    <col min="63" max="87" width="9.140625" style="3" hidden="1" customWidth="1"/>
    <col min="88" max="16384" width="9.140625" style="3"/>
  </cols>
  <sheetData>
    <row r="4" spans="3:66" ht="16.5" thickBot="1">
      <c r="BF4" s="20" t="s">
        <v>44</v>
      </c>
      <c r="BG4" s="26"/>
      <c r="BH4" s="26"/>
      <c r="BI4" s="26"/>
      <c r="BJ4" s="26"/>
      <c r="BK4" s="26"/>
      <c r="BM4" s="21" t="s">
        <v>45</v>
      </c>
      <c r="BN4" s="1"/>
    </row>
    <row r="6" spans="3:66" ht="16.5" thickBot="1">
      <c r="BF6" s="20" t="s">
        <v>46</v>
      </c>
      <c r="BG6" s="26"/>
      <c r="BH6" s="26"/>
      <c r="BI6" s="26"/>
      <c r="BJ6" s="26"/>
      <c r="BK6" s="26"/>
      <c r="BL6" s="26"/>
      <c r="BM6" s="26"/>
      <c r="BN6" s="26"/>
    </row>
    <row r="8" spans="3:66" ht="16.5" thickBot="1">
      <c r="BF8" s="20" t="s">
        <v>47</v>
      </c>
      <c r="BG8" s="1"/>
    </row>
    <row r="10" spans="3:66" ht="15.75">
      <c r="C10" s="2" t="s">
        <v>19</v>
      </c>
      <c r="D10" s="2" t="s">
        <v>20</v>
      </c>
      <c r="E10" s="2" t="s">
        <v>26</v>
      </c>
      <c r="F10" s="2" t="s">
        <v>27</v>
      </c>
      <c r="G10" s="2" t="s">
        <v>28</v>
      </c>
      <c r="H10" s="2" t="s">
        <v>29</v>
      </c>
      <c r="BF10" s="20" t="s">
        <v>48</v>
      </c>
      <c r="BG10" s="27"/>
      <c r="BH10" s="28"/>
      <c r="BI10" s="28"/>
      <c r="BJ10" s="28"/>
      <c r="BK10" s="28"/>
      <c r="BL10" s="28"/>
      <c r="BM10" s="28"/>
      <c r="BN10" s="28"/>
    </row>
    <row r="11" spans="3:66" ht="15.75" thickBot="1">
      <c r="C11" s="11"/>
      <c r="D11" s="11"/>
      <c r="E11" s="11"/>
      <c r="F11" s="11"/>
      <c r="G11" s="11"/>
      <c r="H11" s="11"/>
      <c r="BG11" s="29"/>
      <c r="BH11" s="29"/>
      <c r="BI11" s="29"/>
      <c r="BJ11" s="29"/>
      <c r="BK11" s="29"/>
      <c r="BL11" s="29"/>
      <c r="BM11" s="29"/>
      <c r="BN11" s="29"/>
    </row>
    <row r="12" spans="3:66">
      <c r="C12" s="11"/>
      <c r="D12" s="11"/>
      <c r="E12" s="11"/>
      <c r="F12" s="11"/>
      <c r="G12" s="11"/>
      <c r="H12" s="11"/>
    </row>
    <row r="13" spans="3:66" ht="15.75">
      <c r="C13" s="11"/>
      <c r="D13" s="11"/>
      <c r="E13" s="11"/>
      <c r="F13" s="11"/>
      <c r="G13" s="11"/>
      <c r="H13" s="11"/>
      <c r="BF13" s="22" t="s">
        <v>49</v>
      </c>
    </row>
    <row r="14" spans="3:66" ht="16.5" thickBot="1">
      <c r="BF14" s="20" t="s">
        <v>50</v>
      </c>
      <c r="BH14" s="13"/>
    </row>
    <row r="15" spans="3:66" ht="16.5" thickBot="1">
      <c r="BF15" s="20" t="s">
        <v>51</v>
      </c>
      <c r="BH15" s="15"/>
    </row>
    <row r="16" spans="3:66" ht="16.5" thickBot="1">
      <c r="BF16" s="20" t="s">
        <v>52</v>
      </c>
      <c r="BH16" s="15"/>
    </row>
    <row r="17" spans="58:60" ht="16.5" thickBot="1">
      <c r="BF17" s="20" t="s">
        <v>53</v>
      </c>
      <c r="BH17" s="14"/>
    </row>
  </sheetData>
  <mergeCells count="3">
    <mergeCell ref="BG4:BK4"/>
    <mergeCell ref="BG6:BN6"/>
    <mergeCell ref="BG10:BN11"/>
  </mergeCells>
  <pageMargins left="0.7" right="0.7" top="0.75" bottom="0.75" header="0.3" footer="0.3"/>
  <customProperties>
    <customPr name="продукты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4" name="product_searchbytype">
              <controlPr locked="0" defaultSize="0" autoFill="0" autoLine="0" autoPict="0" altText="L0">
                <anchor moveWithCells="1">
                  <from>
                    <xdr:col>4</xdr:col>
                    <xdr:colOff>371475</xdr:colOff>
                    <xdr:row>5</xdr:row>
                    <xdr:rowOff>28575</xdr:rowOff>
                  </from>
                  <to>
                    <xdr:col>4</xdr:col>
                    <xdr:colOff>581025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5" name="product_searchbyname">
              <controlPr locked="0" defaultSize="0" autoFill="0" autoLine="0" autoPict="0" altText="L0">
                <anchor moveWithCells="1">
                  <from>
                    <xdr:col>4</xdr:col>
                    <xdr:colOff>1219200</xdr:colOff>
                    <xdr:row>5</xdr:row>
                    <xdr:rowOff>28575</xdr:rowOff>
                  </from>
                  <to>
                    <xdr:col>4</xdr:col>
                    <xdr:colOff>1428750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0E2C6-B99E-46CD-90C7-FABBBFC838E4}">
  <sheetPr codeName="Sheet3"/>
  <dimension ref="B1:G23"/>
  <sheetViews>
    <sheetView showFormulas="1" showRuler="0" topLeftCell="A6" zoomScale="120" zoomScaleNormal="120" workbookViewId="0">
      <selection activeCell="A24" sqref="A24:XFD37"/>
    </sheetView>
  </sheetViews>
  <sheetFormatPr defaultRowHeight="12"/>
  <cols>
    <col min="1" max="1" width="2.28515625" style="4" customWidth="1"/>
    <col min="2" max="2" width="6.140625" style="4" customWidth="1"/>
    <col min="3" max="3" width="10.28515625" style="4" customWidth="1"/>
    <col min="4" max="4" width="8" style="4" bestFit="1" customWidth="1"/>
    <col min="5" max="16384" width="9.140625" style="4"/>
  </cols>
  <sheetData>
    <row r="1" spans="2:7">
      <c r="B1" s="5" t="s">
        <v>30</v>
      </c>
      <c r="C1" s="5" t="s">
        <v>32</v>
      </c>
    </row>
    <row r="2" spans="2:7">
      <c r="B2" s="4" t="s">
        <v>31</v>
      </c>
    </row>
    <row r="5" spans="2:7">
      <c r="B5" s="5" t="s">
        <v>25</v>
      </c>
      <c r="C5" s="5" t="s">
        <v>36</v>
      </c>
      <c r="D5" s="5" t="s">
        <v>0</v>
      </c>
      <c r="E5" s="5" t="s">
        <v>1</v>
      </c>
      <c r="F5" s="5" t="s">
        <v>2</v>
      </c>
      <c r="G5" s="5" t="s">
        <v>3</v>
      </c>
    </row>
    <row r="6" spans="2:7" s="8" customFormat="1" ht="9">
      <c r="B6" s="8" t="s">
        <v>33</v>
      </c>
      <c r="C6" s="8" t="s">
        <v>34</v>
      </c>
      <c r="D6" s="8" t="s">
        <v>35</v>
      </c>
    </row>
    <row r="7" spans="2:7">
      <c r="B7" s="6">
        <v>1</v>
      </c>
      <c r="C7" s="7" t="s">
        <v>4</v>
      </c>
      <c r="D7" s="4">
        <v>137</v>
      </c>
    </row>
    <row r="8" spans="2:7">
      <c r="B8" s="6">
        <v>2</v>
      </c>
      <c r="C8" s="7" t="s">
        <v>5</v>
      </c>
    </row>
    <row r="9" spans="2:7">
      <c r="B9" s="6">
        <v>3</v>
      </c>
      <c r="C9" s="4" t="s">
        <v>17</v>
      </c>
      <c r="D9" s="4">
        <v>12</v>
      </c>
    </row>
    <row r="10" spans="2:7">
      <c r="B10" s="6">
        <v>4</v>
      </c>
      <c r="C10" s="4" t="s">
        <v>7</v>
      </c>
    </row>
    <row r="11" spans="2:7">
      <c r="B11" s="6">
        <v>5</v>
      </c>
      <c r="C11" s="4" t="s">
        <v>8</v>
      </c>
    </row>
    <row r="12" spans="2:7">
      <c r="B12" s="6">
        <v>6</v>
      </c>
      <c r="C12" s="4" t="s">
        <v>9</v>
      </c>
    </row>
    <row r="13" spans="2:7">
      <c r="B13" s="6">
        <v>7</v>
      </c>
      <c r="C13" s="4" t="s">
        <v>10</v>
      </c>
    </row>
    <row r="14" spans="2:7">
      <c r="B14" s="6">
        <v>8</v>
      </c>
      <c r="C14" s="4" t="s">
        <v>11</v>
      </c>
    </row>
    <row r="15" spans="2:7">
      <c r="B15" s="6">
        <v>9</v>
      </c>
      <c r="C15" s="4" t="s">
        <v>12</v>
      </c>
    </row>
    <row r="16" spans="2:7">
      <c r="B16" s="6">
        <v>10</v>
      </c>
      <c r="C16" s="4" t="s">
        <v>13</v>
      </c>
    </row>
    <row r="17" spans="2:3">
      <c r="B17" s="6">
        <v>11</v>
      </c>
      <c r="C17" s="4" t="s">
        <v>14</v>
      </c>
    </row>
    <row r="18" spans="2:3">
      <c r="B18" s="6">
        <v>12</v>
      </c>
      <c r="C18" s="4" t="s">
        <v>15</v>
      </c>
    </row>
    <row r="19" spans="2:3">
      <c r="B19" s="6">
        <v>13</v>
      </c>
      <c r="C19" s="4" t="s">
        <v>16</v>
      </c>
    </row>
    <row r="20" spans="2:3">
      <c r="B20" s="4">
        <v>14</v>
      </c>
      <c r="C20" s="7" t="s">
        <v>6</v>
      </c>
    </row>
    <row r="21" spans="2:3">
      <c r="C21" s="7"/>
    </row>
    <row r="22" spans="2:3">
      <c r="C22" s="7"/>
    </row>
    <row r="23" spans="2:3">
      <c r="C23" s="7"/>
    </row>
  </sheetData>
  <pageMargins left="0.7" right="0.7" top="0.75" bottom="0.75" header="0.3" footer="0.3"/>
  <pageSetup paperSize="9" orientation="portrait" verticalDpi="0" r:id="rId1"/>
  <drawing r:id="rId2"/>
</worksheet>
</file>

<file path=customUI/_rels/customUI14.xml.rels><?xml version="1.0" encoding="UTF-8" standalone="yes"?>
<Relationships xmlns="http://schemas.openxmlformats.org/package/2006/relationships"><Relationship Id="combine" Type="http://schemas.openxmlformats.org/officeDocument/2006/relationships/image" Target="images/combine.png"/><Relationship Id="download" Type="http://schemas.openxmlformats.org/officeDocument/2006/relationships/image" Target="images/download.png"/><Relationship Id="robot" Type="http://schemas.openxmlformats.org/officeDocument/2006/relationships/image" Target="images/robot.png"/><Relationship Id="loginarrow" Type="http://schemas.openxmlformats.org/officeDocument/2006/relationships/image" Target="images/loginarrow.png"/><Relationship Id="paper-plane" Type="http://schemas.openxmlformats.org/officeDocument/2006/relationships/image" Target="images/paper-plane.png"/><Relationship Id="pencil" Type="http://schemas.openxmlformats.org/officeDocument/2006/relationships/image" Target="images/pencil.png"/><Relationship Id="sketchbook" Type="http://schemas.openxmlformats.org/officeDocument/2006/relationships/image" Target="images/sketchbook.png"/><Relationship Id="loginkeylock" Type="http://schemas.openxmlformats.org/officeDocument/2006/relationships/image" Target="images/loginkeylock.png"/><Relationship Id="thinking" Type="http://schemas.openxmlformats.org/officeDocument/2006/relationships/image" Target="images/thinking.png"/><Relationship Id="database" Type="http://schemas.openxmlformats.org/officeDocument/2006/relationships/image" Target="images/database.png"/><Relationship Id="bars" Type="http://schemas.openxmlformats.org/officeDocument/2006/relationships/image" Target="images/bars.png"/><Relationship Id="exchange" Type="http://schemas.openxmlformats.org/officeDocument/2006/relationships/image" Target="images/exchange.png"/><Relationship Id="settings" Type="http://schemas.openxmlformats.org/officeDocument/2006/relationships/image" Target="images/settings.png"/><Relationship Id="exim" Type="http://schemas.openxmlformats.org/officeDocument/2006/relationships/image" Target="images/exim.png"/><Relationship Id="folder" Type="http://schemas.openxmlformats.org/officeDocument/2006/relationships/image" Target="images/folder.png"/></Relationships>
</file>

<file path=customUI/customUI14.xml><?xml version="1.0" encoding="utf-8"?>
<!--Customized ribbon for simpleKitchen app. Version 0.1.0-->
<!--Editor: Ribbon XML Editor v.7.5 @ http://novikov.gq/products/ribbonxmleditor/ribbonxmleditor.html  -->
<customUI xmlns="http://schemas.microsoft.com/office/2009/07/customui" onLoad="OnLoad">
  <ribbon startFromScratch="false">
    <tabs>
      <tab id="tabSimpleKitchen" getLabel="GetLabel" visible="true" insertAfterMso="TabHome" getKeytip="GetKeyTip">
        <group id="gpDataBase" getLabel="GetLabel" getVisible="GetVisible" getScreentip="GetScreenTip" getSupertip="GetSuperTip" autoScale="true" centerVertically="true">
          <button id="btnDataBasePath" image="database" getLabel="GetLabel" getScreentip="GetScreenTip" getSupertip="GetSuperTip" getVisible="GetVisible" getSize="GetSize" onAction="ButtonOnAction" tag="user"/>
          <!--<splitButton id="sbDataBasePath" getSize="GetSize" getVisible="GetVisible" getEnabled="GetEnabled">
						<menu id="mImport" itemSize="large" getImage="GetImage" showImage="true" getLabel="GetLabel" getVisible="GetVisible" getScreentip="GetScreenTip" getSupertip="GetSuperTip">
							<button id="btnImport1" getImage="GetImage" getLabel="GetLabel" getVisible="GetVisible" getEnabled="GetEnabled" getScreentip="GetScreenTip" getSupertip="GetSuperTip" onAction="ButtonOnAction" tag="user"/>
							<menuSeparator id="msImport1" title="дополнительные... как настроить?"/>
							<button id="btnImport2" image="download" getLabel="GetLabel" getVisible="GetVisible" getEnabled="GetEnabled" getScreentip="GetScreenTip" getSupertip="GetSuperTip" onAction="ButtonOnAction" tag="user"/>
							<menuSeparator id="msImport2"/>
							<button id="btnImport3" getImage="GetImage" getLabel="GetLabel" getVisible="GetVisible" getEnabled="GetEnabled" getScreentip="GetScreenTip" getSupertip="GetSuperTip" onAction="ButtonOnAction" tag="user"/>
							<menuSeparator id="msImport3"/>
							<button id="btnImport4" image="folder" getLabel="GetLabel" getVisible="GetVisible" getEnabled="GetEnabled" getScreentip="GetScreenTip" getSupertip="GetSuperTip" onAction="ButtonOnAction" tag="user"/>
						</menu>
					</splitButton>
					<dialogBoxLauncher>
						<button id="btnImportOptions" getVisible="GetVisible" getEnabled="GetEnabled" getScreentip="GetScreentip" getSupertip="GetSuperTip" onAction="ButtonOnAction"/>
					</dialogBoxLauncher> -->
        </group>
        <group id="gpInterface" getLabel="GetLabel" getVisible="GetVisible" getScreentip="GetScreenTip" getSupertip="GetSuperTip" autoScale="true" centerVertically="false">
          <checkBox id="chkFormula" getLabel="GetLabel" getScreentip="GetScreenTip" getSupertip="GetSuperTip" getVisible="GetVisible" getPressed="GetPressed" onAction="CheckBoxOnAction" tag="user"/>
          <checkBox id="chkHeadings" getLabel="GetLabel" getScreentip="GetScreenTip" getSupertip="GetSuperTip" getVisible="GetVisible" getPressed="GetPressed" onAction="CheckBoxOnAction" tag="user"/>
          <checkBox id="chkSheetTabs" getLabel="GetLabel" getScreentip="GetScreenTip" getSupertip="GetSuperTip" getVisible="GetVisible" getPressed="GetPressed" onAction="CheckBoxOnAction" tag="user"/>
          <checkBox id="chkScrollBars" getLabel="GetLabel" getScreentip="GetScreenTip" getSupertip="GetSuperTip" getVisible="GetVisible" getPressed="GetPressed" onAction="CheckBoxOnAction" tag="user"/>
        </group>
        <!--<group id="gpAuthorization" getLabel="GetLabel" visible="true" getScreentip="GetScreenTip" getSupertip="GetSuperTip" autoScale="true" centerVertically="true">
					<button id="btnLogin" size="large" image="loginkeylock" getLabel="GetLabel" visible="true" enabled="true" getScreentip="GetScreenTip" getSupertip="GetSuperTip" onAction="ButtonOnAction" tag="user"/>
				</group> -->
        <!--<group id="gpFiles" getImage="GetImage" getLabel="GetLabel" getScreentip="GetScreenTip" getSupertip="GetSuperTip" visible="true" autoScale="true" centerVertically="true">
					<button id="btnFile1" getImage="GetImage" getLabel="GetLabel" getScreentip="GetScreenTip" getSize="GetSize" getSupertip="GetSuperTip" getVisible="GetVisible" onAction="ButtonOnAction" tag="user"/>
					<button id="btnFile2" getImage="GetImage" getLabel="GetLabel" getScreentip="GetScreenTip" getSize="GetSize" getSupertip="GetSuperTip" getVisible="GetVisible" onAction="ButtonOnAction" tag="user"/>
					<button id="btnFile3" getImage="GetImage" getLabel="GetLabel" getScreentip="GetScreenTip" getSize="GetSize" getSupertip="GetSuperTip" getVisible="GetVisible" onAction="ButtonOnAction" tag="user"/>
					<button id="btnFile4" getImage="GetImage" getLabel="GetLabel" getScreentip="GetScreenTip" getSize="GetSize" getSupertip="GetSuperTip" getVisible="GetVisible" onAction="ButtonOnAction" tag="user"/>
					<button id="btnFile5" getImage="GetImage" getLabel="GetLabel" getScreentip="GetScreenTip" getSize="GetSize" getSupertip="GetSuperTip" getVisible="GetVisible" onAction="ButtonOnAction" tag="user"/>
					<button id="btnFile6" getImage="GetImage" getLabel="GetLabel" getScreentip="GetScreenTip" getSize="GetSize" getSupertip="GetSuperTip" getVisible="GetVisible" onAction="ButtonOnAction" tag="user"/>
					<dialogBoxLauncher>
						<button id="btnFilesOptions" getScreentip="GetScreentip" getSupertip="GetSuperTip" visible="true" onAction="ButtonOnAction"/>
					</dialogBoxLauncher>
				</group>
				<group id="gpPublish" visible="true" label="публикация и рассылка" autoScale="false" centerVertically="true">
					<button id="btnPublish1" imageMso="TableSave" label="2_дня" getScreentip="GetScreenTip" size="large" getSupertip="GetSuperTip" visible="true" onAction="ButtonOnAction" tag="user"/>
					<separator id="sPublish"/>
					<button id="btnPublish2" imageMso="GroupExport" label="Общий файл" getScreentip="GetScreenTip" size="large" getSupertip="GetSuperTip" visible="true" onAction="ButtonOnAction" tag="user"/>
					<separator id="sPublish3"/>
					<button id="btnPublish3" image="paper-plane" label="Рассылка" getScreentip="GetScreenTip" size="large" getSupertip="GetSuperTip" visible="true" onAction="ButtonOnAction" tag="user"/>
					<dialogBoxLauncher>
						<button id="btnPublicationOptions" getScreentip="GetScreentip" getSupertip="GetSuperTip" visible="true" onAction="ButtonOnAction"/>
					</dialogBoxLauncher>
				</group>
				<group id="gpFormat" getImage="GetImage" getLabel="GetLabel" getScreentip="GetScreenTip" getSupertip="GetSuperTip" visible="true" autoScale="true" centerVertically="true">
					<button id="btnAi5" enabled="false" image="thinking" label="Заполнить схему" getScreentip="GetScreenTip" size="large" getSupertip="GetSuperTip" visible="true" onAction="ButtonOnAction" tag="user"/>
					<separator id="FormatSep1"/>
					<menu id="mFormat" image="pencil" itemSize="large" label="Быстрый формат" getScreentip="GetScreenTip" getSize="GetSize" getSupertip="GetSuperTip" visible="true">
						<button id="btnFormat1" imageMso="ListToolEdit" label="Последние два дня" screentip="Форматирование части таблицы" supertip="для форматирования выбираются только 2 последние дня с данными" visible="true" onAction="ButtonOnAction" tag="user"/>
						<menuSeparator id="msFormat1"/>
						<button id="btnFormat2" imageMso="FormatAsTableGallery" label="Вниз, начиная с активной ячейки" screentip="Форматирование всей или части таблицы" supertip="для форматирования выбираются все нижестоящие строки, начиная с активной ячейки" visible="true" onAction="ButtonOnAction" tag="user"/>
						<menuSeparator id="msFormat2"/>
						<button id="btnFormat3" imageMso="BackgroundsGallery" label="Вся таблица" screentip="Форматирование всей таблицы" supertip="форматируется вся таблица, за исключением шапки" visible="true" onAction="ButtonOnAction" tag="user"/>
					</menu>
					<dialogBoxLauncher>
						<button id="btnFormatOptions" getDescription="GetDescription" enabled="true" getImage="GetImage"  getLabel="GetLabel" getScreentip="GetScreentip" showImage="true"showLabel="true" getSupertip="GetSuperTip" visible="true" onAction="ButtonOnAction" />
					</dialogBoxLauncher>
					<box id="adfdf" boxStyle="vertical">
						<control idMso="FormatPainter" showLabel="false"/>
						<control idMso="Copy" showLabel="false"/>
						<button id="SaveInsert" imageMso="CellsInsertSmart" showLabel="false"/>
					</box>
					<separator id="FormatSep2"/>
					<box id="bxFont1" boxStyle="horizontal">
						<comboBox idMso="Font" visible="true" sizeString="Times New Rom"/>
						<control idMso="FontSize" showLabel="false"/>
					</box>
					<box id="bxFont2" boxStyle="horizontal">
						<toggleButton idMso="Bold" visible="true"/>
						<toggleButton idMso="Underline" visible="true"/>
						<toggleButton idMso="UnderlineDouble" visible="true"/>
						<toggleButton idMso="Strikethrough" visible="true" showLabel="false"/>
						<labelControl id="lblSep3" label="| " enabled="false"/>
						<control idMso="BordersGallery" showLabel="false"/>
						<labelControl id="lblSep4" label="| " enabled="false"/>
						<labelControl id="lblSep5" label=" " enabled="false"/>
						<control idMso="FontColorPicker" showLabel="false"/>
						<control idMso="CellFillColorPicker" showLabel="false"/>
					</box>
					<separator id="hhtg"/>
					<box id="adfdfdsaf" boxStyle="vertical">
						<control idMso="Cut" showLabel="false"/>
						<control idMso="PasteValues" showLabel="false"/>
						<control idMso="PasteFormulas" showLabel="false"/>
						<control idMso="Copy" showLabel="false"/>
						<control idMso="PasteValuesAndNumberFormatting" showLabel="false"/>
						<control idMso="PasteAsHyperlink" showLabel="false"/>
					</box>
					<dialogBoxLauncher>
						<button idMso="FormatCellsDialog" visible="true" enabled="true" />
					</dialogBoxLauncher>	
				</group> 
				<group id="gpInfo" label="текущая информация">
				<box id="ввв" boxStyle="vertical">
				<box id="info3" boxStyle="horizontal">
					<labelControl id="dateT"  label="сегодня:"/>
					<labelControl id="dateT1"  label="01.01.2017"/>
					<labelControl id="dateT2"  label="(понед.)"/>
				</box>
					<box id="info2" boxStyle="horizontal">
					<labelControl  id="l1"  label="курс НБУ на" />
					<comboBox id="cbData">	
					</comboBox>
				</box>
				</box>
				<box id="info" boxStyle="horizontal">
					<box id="currency" boxStyle="vertical">
					<box id="currency1" boxStyle="horizontal">
						<labelControl id="usd"  label=" $"/>
						<labelControl id="usdA"  label="27.000000"/>
					</box>
					<box id="currency2" boxStyle="horizontal">
						<labelControl id="eur"  label=" €"/>
						<labelControl id="eurA"  label="32.000000"/>
					</box>
					<box id="currency3" boxStyle="horizontal">
						<labelControl id="rub"  label=" ₽"/>
						<labelControl id="rubA"  label="4.5555"/>
					</box>					
					</box>
				</box>
				</group>
				<group id="Format" label="форматирование таблиц">
					<splitButton id="Format2" size="large">
						<menu id="FormatMenu" label="Форматировать" itemSize="large" >
							<button id="FormatBtn1" 
							        label="Последние два дня" 
									image="pencil"
									getDescription="RibbonControl.GetDescription" 
									onAction="RibbonControl.ButtonOnAction"
									screentip="быстрое форматирование файла с движением по счетам"
									supertip="настройка вида и выравнивание данных, линия по результатам дня, очистка ненужного форматирования"/>
							<menuSeparator id="FormatMenuSep1" title="форматирование по умолчанию"/>
							<button id="FormatBtn2" 
							        label="Последние два дня" 
									imageMso="GroupAutoFormatAccess" 
									getDescription="RibbonControl.GetDescription" 
									onAction="RibbonControl.ButtonOnAction"/>
							<menuSeparator id="FormatMenuSep2" title="другие варианты форматирования:"/>
							<button id="FormatBtn3" 
							        label="Строки начиная с активной" 
									imageMso="SplitHorizontally" 
									getDescription="RibbonControl.GetDescription" 
									onAction="RibbonControl.ButtonOnAction"/>
							<menuSeparator id="FormatMenuSep3"/>
							<button id="FormatBtn4" 
							        label="Всю таблицу" 
									imageMso="ListSetNumberingValue" 
									getDescription="RibbonControl.GetDescription" 
									onAction="RibbonControl.ButtonOnAction"/>
						</menu>
					</splitButton>
				</group>================
				<group id="hgtuyyuytu" label="  "  autoScale="false" >
					<labelControl id="ggfhuyuj"  label=" " />
					<labelControl id="dfasdfdsfsdf"  label="        [ в процессе разработки ]" />
				</group>
				<group id="Grp2" label="Macro Call SplitButtons 1 and 2">
					<splitButton id="Grp2SB1" size="large">
						<button idMso="VisualBasic" label="Project Macros"/>
						<menu id="Grp2SB1Menu1" label="Project Macros" imageMso="CreateModule" itemSize="large">
							<button id="Grp2SB1Btn1" label="Toggle Case" imageMso="SlideThemesGallery" getDescription="RibbonControl.GetDescription" onAction="RibbonControl.ButtonOnAction"/>
							<menuSeparator id="Grp2SB1Sep1"/>
							<button id="Grp2SB1Btn2" label="Update Fields" imageMso="FileWorkflowTasks" getDescription="RibbonControl.GetDescription" onAction="RibbonControl.ButtonOnAction"/>
							<menuSeparator id="Grp2SB1Sep2"/>
							<button id="Grp2SB1Btn3" label="Insert Date Stamp" imageMso="DateAndTimeInsert" getDescription="RibbonControl.GetDescription" onAction="RibbonControl.ButtonOnAction"/>
							<menuSeparator id="Grp2SB1Sep3"/>
							<button id="Grp2SB1Btn4" label="Calculator" imageMso="TableStyleTotalsRow" getDescription="RibbonControl.GetDescription" onAction="RibbonControl.ButtonOnAction"/>
							<menuSeparator id="Grp2SB1Sep4"/>
							<button id="Grp2SB1Btn5" label="Purpe Trailing Space" imageMso="FormatPainter" getDescription="RibbonControl.GetDescription" onAction="RibbonControl.ButtonOnAction"/>
						</menu>
					</splitButton>
				</group>
				<group id="ClientBank" label="клиент-банки">
					<button id="btnExim" label="EximClient" image="exim"/>
				</group>	
				<group idMso="GroupFont">
				</group>
				<group idMso="GroupSortFilter">
				</group>
				<group id="tabTools" label="инструменты">
					<button idMso="Calculator" imageMso="Calculator" label="Калькулятор" size ="large" />
				</group>-->
      </tab>
    </tabs>
  </ribbon>
</customUI>
<!--<group id="gpImport" getImage="GetImage"  getLabel="GetLabel" getScreentip="GetScreenTip" getSupertip="GetSuperTip" visible="true">
					<button id="btnCheckData" 
					        imageMso="RecentSearches" 
							label="Мониторинг" 
							size="large" 
							onAction="SearchForUpdates" 
							screentip="поиск новых файлов" 
							supertip="отслеживание новых файлов в установленных папках"  />
					<button id="btnImport" 
					        getDescription="GetDescription"
							enabled="true"
							getImage="GetImage" 
							getLabel="GetLabel"
							getScreentip="GetScreenTip"
							getShowImage="GetShowImage"
							showLabel="true"
							getSize="GetSize"
							getSupertip="GetSuperTip"
							visible="true"
							onAction="ButtonOnAction"
							tag="user"
							/>
				</group>-->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справочники</vt:lpstr>
      <vt:lpstr>dimens</vt:lpstr>
      <vt:lpstr>result</vt:lpstr>
      <vt:lpstr>старт</vt:lpstr>
      <vt:lpstr>settings</vt:lpstr>
      <vt:lpstr>продукты</vt:lpstr>
      <vt:lpstr>TableList</vt:lpstr>
      <vt:lpstr>computer</vt:lpstr>
      <vt:lpstr>databasepath</vt:lpstr>
      <vt:lpstr>formulabar</vt:lpstr>
      <vt:lpstr>headings</vt:lpstr>
      <vt:lpstr>ID</vt:lpstr>
      <vt:lpstr>MAC</vt:lpstr>
      <vt:lpstr>product_белки</vt:lpstr>
      <vt:lpstr>product_вид</vt:lpstr>
      <vt:lpstr>product_жиры</vt:lpstr>
      <vt:lpstr>product_измерение</vt:lpstr>
      <vt:lpstr>product_калорийность</vt:lpstr>
      <vt:lpstr>product_код</vt:lpstr>
      <vt:lpstr>product_описание</vt:lpstr>
      <vt:lpstr>product_продукт</vt:lpstr>
      <vt:lpstr>product_углеводы</vt:lpstr>
      <vt:lpstr>ref_вид</vt:lpstr>
      <vt:lpstr>ribbonpointer</vt:lpstr>
      <vt:lpstr>scrollbar</vt:lpstr>
      <vt:lpstr>SheetID</vt:lpstr>
      <vt:lpstr>tabs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myshkarus</dc:creator>
  <cp:lastModifiedBy>myshkarus</cp:lastModifiedBy>
  <dcterms:created xsi:type="dcterms:W3CDTF">2018-08-13T09:25:21Z</dcterms:created>
  <dcterms:modified xsi:type="dcterms:W3CDTF">2018-09-25T21:16:31Z</dcterms:modified>
</cp:coreProperties>
</file>